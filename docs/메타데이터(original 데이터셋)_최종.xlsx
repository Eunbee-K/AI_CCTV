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AI_CCTV_PROJECT\docs\"/>
    </mc:Choice>
  </mc:AlternateContent>
  <xr:revisionPtr revIDLastSave="0" documentId="11_948B24CFE8AABD773DE72A79439EB0840812521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요약" sheetId="1" r:id="rId1"/>
    <sheet name="결함별 합계" sheetId="2" r:id="rId2"/>
    <sheet name="상세 현황" sheetId="3" r:id="rId3"/>
    <sheet name="폴더 구조" sheetId="4" r:id="rId4"/>
    <sheet name="클래스 코드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2" l="1"/>
  <c r="G59" i="2"/>
  <c r="J59" i="2" s="1"/>
  <c r="F59" i="2"/>
  <c r="E59" i="2"/>
  <c r="D59" i="2"/>
  <c r="H58" i="2"/>
  <c r="G58" i="2"/>
  <c r="J58" i="2" s="1"/>
  <c r="F58" i="2"/>
  <c r="E58" i="2"/>
  <c r="D58" i="2"/>
  <c r="H57" i="2"/>
  <c r="G57" i="2"/>
  <c r="J57" i="2" s="1"/>
  <c r="F57" i="2"/>
  <c r="E57" i="2"/>
  <c r="D57" i="2"/>
  <c r="H56" i="2"/>
  <c r="G56" i="2"/>
  <c r="J56" i="2" s="1"/>
  <c r="F56" i="2"/>
  <c r="E56" i="2"/>
  <c r="D56" i="2"/>
  <c r="H55" i="2"/>
  <c r="G55" i="2"/>
  <c r="J55" i="2" s="1"/>
  <c r="F55" i="2"/>
  <c r="E55" i="2"/>
  <c r="D55" i="2"/>
  <c r="H54" i="2"/>
  <c r="G54" i="2"/>
  <c r="J54" i="2" s="1"/>
  <c r="F54" i="2"/>
  <c r="E54" i="2"/>
  <c r="D54" i="2"/>
  <c r="H53" i="2"/>
  <c r="G53" i="2"/>
  <c r="J53" i="2" s="1"/>
  <c r="F53" i="2"/>
  <c r="E53" i="2"/>
  <c r="D53" i="2"/>
  <c r="H52" i="2"/>
  <c r="G52" i="2"/>
  <c r="J52" i="2" s="1"/>
  <c r="F52" i="2"/>
  <c r="E52" i="2"/>
  <c r="D52" i="2"/>
  <c r="H51" i="2"/>
  <c r="G51" i="2"/>
  <c r="J51" i="2" s="1"/>
  <c r="F51" i="2"/>
  <c r="E51" i="2"/>
  <c r="D51" i="2"/>
  <c r="H50" i="2"/>
  <c r="G50" i="2"/>
  <c r="J50" i="2" s="1"/>
  <c r="F50" i="2"/>
  <c r="E50" i="2"/>
  <c r="D50" i="2"/>
  <c r="H49" i="2"/>
  <c r="G49" i="2"/>
  <c r="J49" i="2" s="1"/>
  <c r="F49" i="2"/>
  <c r="E49" i="2"/>
  <c r="D49" i="2"/>
  <c r="H48" i="2"/>
  <c r="G48" i="2"/>
  <c r="J48" i="2" s="1"/>
  <c r="F48" i="2"/>
  <c r="E48" i="2"/>
  <c r="D48" i="2"/>
  <c r="H47" i="2"/>
  <c r="G47" i="2"/>
  <c r="J47" i="2" s="1"/>
  <c r="F47" i="2"/>
  <c r="E47" i="2"/>
  <c r="D47" i="2"/>
  <c r="H46" i="2"/>
  <c r="G46" i="2"/>
  <c r="J46" i="2" s="1"/>
  <c r="F46" i="2"/>
  <c r="E46" i="2"/>
  <c r="D46" i="2"/>
  <c r="H45" i="2"/>
  <c r="G45" i="2"/>
  <c r="J45" i="2" s="1"/>
  <c r="F45" i="2"/>
  <c r="E45" i="2"/>
  <c r="D45" i="2"/>
  <c r="H44" i="2"/>
  <c r="G44" i="2"/>
  <c r="J44" i="2" s="1"/>
  <c r="F44" i="2"/>
  <c r="E44" i="2"/>
  <c r="D44" i="2"/>
  <c r="H43" i="2"/>
  <c r="G43" i="2"/>
  <c r="J43" i="2" s="1"/>
  <c r="F43" i="2"/>
  <c r="E43" i="2"/>
  <c r="D43" i="2"/>
  <c r="H42" i="2"/>
  <c r="G42" i="2"/>
  <c r="J42" i="2" s="1"/>
  <c r="F42" i="2"/>
  <c r="E42" i="2"/>
  <c r="D42" i="2"/>
  <c r="H41" i="2"/>
  <c r="G41" i="2"/>
  <c r="J41" i="2" s="1"/>
  <c r="F41" i="2"/>
  <c r="E41" i="2"/>
  <c r="D41" i="2"/>
  <c r="J40" i="2"/>
  <c r="H40" i="2"/>
  <c r="G40" i="2"/>
  <c r="F40" i="2"/>
  <c r="E40" i="2"/>
  <c r="D40" i="2"/>
  <c r="H39" i="2"/>
  <c r="G39" i="2"/>
  <c r="J39" i="2" s="1"/>
  <c r="F39" i="2"/>
  <c r="E39" i="2"/>
  <c r="D39" i="2"/>
  <c r="H38" i="2"/>
  <c r="G38" i="2"/>
  <c r="J38" i="2" s="1"/>
  <c r="F38" i="2"/>
  <c r="E38" i="2"/>
  <c r="D38" i="2"/>
  <c r="H37" i="2"/>
  <c r="G37" i="2"/>
  <c r="J37" i="2" s="1"/>
  <c r="F37" i="2"/>
  <c r="E37" i="2"/>
  <c r="D37" i="2"/>
  <c r="H36" i="2"/>
  <c r="G36" i="2"/>
  <c r="J36" i="2" s="1"/>
  <c r="F36" i="2"/>
  <c r="E36" i="2"/>
  <c r="D36" i="2"/>
  <c r="H35" i="2"/>
  <c r="G35" i="2"/>
  <c r="J35" i="2" s="1"/>
  <c r="F35" i="2"/>
  <c r="E35" i="2"/>
  <c r="D35" i="2"/>
  <c r="H34" i="2"/>
  <c r="G34" i="2"/>
  <c r="J34" i="2" s="1"/>
  <c r="F34" i="2"/>
  <c r="E34" i="2"/>
  <c r="D34" i="2"/>
  <c r="H33" i="2"/>
  <c r="G33" i="2"/>
  <c r="J33" i="2" s="1"/>
  <c r="F33" i="2"/>
  <c r="E33" i="2"/>
  <c r="D33" i="2"/>
  <c r="H32" i="2"/>
  <c r="G32" i="2"/>
  <c r="J32" i="2" s="1"/>
  <c r="F32" i="2"/>
  <c r="E32" i="2"/>
  <c r="D32" i="2"/>
  <c r="H31" i="2"/>
  <c r="G31" i="2"/>
  <c r="J31" i="2" s="1"/>
  <c r="F31" i="2"/>
  <c r="E31" i="2"/>
  <c r="D31" i="2"/>
  <c r="H30" i="2"/>
  <c r="G30" i="2"/>
  <c r="J30" i="2" s="1"/>
  <c r="F30" i="2"/>
  <c r="E30" i="2"/>
  <c r="D30" i="2"/>
  <c r="H29" i="2"/>
  <c r="G29" i="2"/>
  <c r="J29" i="2" s="1"/>
  <c r="F29" i="2"/>
  <c r="E29" i="2"/>
  <c r="D29" i="2"/>
  <c r="H28" i="2"/>
  <c r="G28" i="2"/>
  <c r="J28" i="2" s="1"/>
  <c r="F28" i="2"/>
  <c r="E28" i="2"/>
  <c r="D28" i="2"/>
  <c r="H27" i="2"/>
  <c r="G27" i="2"/>
  <c r="J27" i="2" s="1"/>
  <c r="F27" i="2"/>
  <c r="E27" i="2"/>
  <c r="D27" i="2"/>
  <c r="H26" i="2"/>
  <c r="G26" i="2"/>
  <c r="J26" i="2" s="1"/>
  <c r="F26" i="2"/>
  <c r="E26" i="2"/>
  <c r="D26" i="2"/>
  <c r="H25" i="2"/>
  <c r="G25" i="2"/>
  <c r="J25" i="2" s="1"/>
  <c r="F25" i="2"/>
  <c r="E25" i="2"/>
  <c r="D25" i="2"/>
  <c r="H24" i="2"/>
  <c r="G24" i="2"/>
  <c r="J24" i="2" s="1"/>
  <c r="F24" i="2"/>
  <c r="E24" i="2"/>
  <c r="D24" i="2"/>
  <c r="H23" i="2"/>
  <c r="G23" i="2"/>
  <c r="J23" i="2" s="1"/>
  <c r="F23" i="2"/>
  <c r="E23" i="2"/>
  <c r="D23" i="2"/>
  <c r="H22" i="2"/>
  <c r="G22" i="2"/>
  <c r="J22" i="2" s="1"/>
  <c r="F22" i="2"/>
  <c r="E22" i="2"/>
  <c r="D22" i="2"/>
  <c r="H21" i="2"/>
  <c r="G21" i="2"/>
  <c r="J21" i="2" s="1"/>
  <c r="F21" i="2"/>
  <c r="E21" i="2"/>
  <c r="D21" i="2"/>
  <c r="H20" i="2"/>
  <c r="G20" i="2"/>
  <c r="J20" i="2" s="1"/>
  <c r="F20" i="2"/>
  <c r="E20" i="2"/>
  <c r="D20" i="2"/>
  <c r="H19" i="2"/>
  <c r="G19" i="2"/>
  <c r="J19" i="2" s="1"/>
  <c r="F19" i="2"/>
  <c r="E19" i="2"/>
  <c r="D19" i="2"/>
  <c r="H18" i="2"/>
  <c r="G18" i="2"/>
  <c r="J18" i="2" s="1"/>
  <c r="F18" i="2"/>
  <c r="E18" i="2"/>
  <c r="D18" i="2"/>
  <c r="H17" i="2"/>
  <c r="G17" i="2"/>
  <c r="J17" i="2" s="1"/>
  <c r="F17" i="2"/>
  <c r="E17" i="2"/>
  <c r="D17" i="2"/>
  <c r="H16" i="2"/>
  <c r="G16" i="2"/>
  <c r="J16" i="2" s="1"/>
  <c r="F16" i="2"/>
  <c r="E16" i="2"/>
  <c r="D16" i="2"/>
  <c r="H15" i="2"/>
  <c r="G15" i="2"/>
  <c r="J15" i="2" s="1"/>
  <c r="F15" i="2"/>
  <c r="E15" i="2"/>
  <c r="D15" i="2"/>
  <c r="H14" i="2"/>
  <c r="G14" i="2"/>
  <c r="J14" i="2" s="1"/>
  <c r="F14" i="2"/>
  <c r="E14" i="2"/>
  <c r="D14" i="2"/>
  <c r="H13" i="2"/>
  <c r="G13" i="2"/>
  <c r="J13" i="2" s="1"/>
  <c r="F13" i="2"/>
  <c r="E13" i="2"/>
  <c r="D13" i="2"/>
  <c r="H12" i="2"/>
  <c r="G12" i="2"/>
  <c r="J12" i="2" s="1"/>
  <c r="F12" i="2"/>
  <c r="E12" i="2"/>
  <c r="D12" i="2"/>
  <c r="H11" i="2"/>
  <c r="G11" i="2"/>
  <c r="J11" i="2" s="1"/>
  <c r="F11" i="2"/>
  <c r="E11" i="2"/>
  <c r="D11" i="2"/>
  <c r="H10" i="2"/>
  <c r="G10" i="2"/>
  <c r="J10" i="2" s="1"/>
  <c r="F10" i="2"/>
  <c r="E10" i="2"/>
  <c r="D10" i="2"/>
  <c r="H9" i="2"/>
  <c r="G9" i="2"/>
  <c r="J9" i="2" s="1"/>
  <c r="F9" i="2"/>
  <c r="E9" i="2"/>
  <c r="D9" i="2"/>
  <c r="H8" i="2"/>
  <c r="G8" i="2"/>
  <c r="J8" i="2" s="1"/>
  <c r="F8" i="2"/>
  <c r="E8" i="2"/>
  <c r="D8" i="2"/>
  <c r="H7" i="2"/>
  <c r="G7" i="2"/>
  <c r="J7" i="2" s="1"/>
  <c r="F7" i="2"/>
  <c r="E7" i="2"/>
  <c r="D7" i="2"/>
  <c r="H6" i="2"/>
  <c r="G6" i="2"/>
  <c r="J6" i="2" s="1"/>
  <c r="F6" i="2"/>
  <c r="E6" i="2"/>
  <c r="D6" i="2"/>
  <c r="H5" i="2"/>
  <c r="G5" i="2"/>
  <c r="J5" i="2" s="1"/>
  <c r="F5" i="2"/>
  <c r="E5" i="2"/>
  <c r="D5" i="2"/>
  <c r="I8" i="1"/>
  <c r="J8" i="1" s="1"/>
  <c r="H8" i="1"/>
  <c r="G8" i="1"/>
  <c r="F8" i="1"/>
  <c r="I7" i="1"/>
  <c r="H7" i="1"/>
  <c r="H9" i="1" s="1"/>
  <c r="G7" i="1"/>
  <c r="G9" i="1" s="1"/>
  <c r="F7" i="1"/>
  <c r="F9" i="1" s="1"/>
  <c r="J6" i="1"/>
  <c r="I6" i="1"/>
  <c r="H6" i="1"/>
  <c r="G6" i="1"/>
  <c r="F6" i="1"/>
  <c r="I5" i="1"/>
  <c r="J5" i="1" s="1"/>
  <c r="H5" i="1"/>
  <c r="G5" i="1"/>
  <c r="F5" i="1"/>
  <c r="I9" i="1" l="1"/>
  <c r="J9" i="1" s="1"/>
  <c r="J7" i="1"/>
</calcChain>
</file>

<file path=xl/sharedStrings.xml><?xml version="1.0" encoding="utf-8"?>
<sst xmlns="http://schemas.openxmlformats.org/spreadsheetml/2006/main" count="1460" uniqueCount="513">
  <si>
    <t>original 데이터셋 메타데이터 요약</t>
  </si>
  <si>
    <t>원본 경로: E:\AI_CCTV_DATASET\original  |  파일을 복사하지 않고 현재 폴더를 직접 집계한 결과</t>
  </si>
  <si>
    <t>데이터셋</t>
  </si>
  <si>
    <t>작업</t>
  </si>
  <si>
    <t>구조/출처</t>
  </si>
  <si>
    <t>세부 행</t>
  </si>
  <si>
    <t>결함 코드 수</t>
  </si>
  <si>
    <t>이미지 수</t>
  </si>
  <si>
    <t>라벨 수</t>
  </si>
  <si>
    <t>분할 내 매칭</t>
  </si>
  <si>
    <t>실제 미발견</t>
  </si>
  <si>
    <t>상태</t>
  </si>
  <si>
    <t>rename_data_s20_s22_bbox</t>
  </si>
  <si>
    <t>BBOX</t>
  </si>
  <si>
    <t>서울시 2020·2022 / 결함별 images·labels</t>
  </si>
  <si>
    <t>aihub_data_bbox</t>
  </si>
  <si>
    <t>AI Hub / image·labels 통합</t>
  </si>
  <si>
    <t>rename_data_s20_s22_seg</t>
  </si>
  <si>
    <t>SEG</t>
  </si>
  <si>
    <t>aihub_data_seg</t>
  </si>
  <si>
    <t>AI Hub / image·labels 분리</t>
  </si>
  <si>
    <t>전체 합계</t>
  </si>
  <si>
    <t>2026-07-14 AI Hub BBox 통합 및 중복 정리 내역</t>
  </si>
  <si>
    <t>Train·Vaild를 image/labels 구조로 통합 완료 → 이미지 423,000장 / 라벨 423,000개 / 파일명 1:1 일치</t>
  </si>
  <si>
    <t>중복 라벨 5,000개 제거. CL은 전역 클래스 번호 1인 라벨 유지. 기존 Train_* 및 Vaild_* 폴더 삭제 완료.</t>
  </si>
  <si>
    <t>실제로 아직 찾지 못한 항목 (전체 데이터셋 기준)</t>
  </si>
  <si>
    <t>구분</t>
  </si>
  <si>
    <t>코드</t>
  </si>
  <si>
    <t>결함 종류</t>
  </si>
  <si>
    <t>이미지만</t>
  </si>
  <si>
    <t>라벨만</t>
  </si>
  <si>
    <t>메모</t>
  </si>
  <si>
    <t>2026-07-16 정리 완료: aihub_data_seg 라벨 없는 이미지 26개(BK2·CC7·CL5·DS1·ETC6·JF3·LP1·SD1) 삭제, 전부 원본 AI Hub 라벨과 일치 확인됨</t>
  </si>
  <si>
    <t>결함별 보유 수량 합계</t>
  </si>
  <si>
    <t>이미지 수를 학습 샘플 수로 보고, BBOX와 SEG를 분리하여 합산했습니다.</t>
  </si>
  <si>
    <t>실제 이미지만</t>
  </si>
  <si>
    <t>실제 라벨만</t>
  </si>
  <si>
    <t>원본 묶음 수</t>
  </si>
  <si>
    <t>BC</t>
  </si>
  <si>
    <t>좌굴</t>
  </si>
  <si>
    <t>BK</t>
  </si>
  <si>
    <t>파손</t>
  </si>
  <si>
    <t>CC</t>
  </si>
  <si>
    <t>균열(원주)</t>
  </si>
  <si>
    <t>CL</t>
  </si>
  <si>
    <t>균열(길이)</t>
  </si>
  <si>
    <t>CM</t>
  </si>
  <si>
    <t>균열(복합)</t>
  </si>
  <si>
    <t>CX</t>
  </si>
  <si>
    <t>붕괴</t>
  </si>
  <si>
    <t>DE</t>
  </si>
  <si>
    <t>내피생성</t>
  </si>
  <si>
    <t>DF</t>
  </si>
  <si>
    <t>변형</t>
  </si>
  <si>
    <t>DG</t>
  </si>
  <si>
    <t>폐유부착</t>
  </si>
  <si>
    <t>DS</t>
  </si>
  <si>
    <t>토사퇴적</t>
  </si>
  <si>
    <t>ETC</t>
  </si>
  <si>
    <t>기타</t>
  </si>
  <si>
    <t>HL</t>
  </si>
  <si>
    <t>천공</t>
  </si>
  <si>
    <t>IF</t>
  </si>
  <si>
    <t>침입수</t>
  </si>
  <si>
    <t>IN</t>
  </si>
  <si>
    <t>하수관로 내부</t>
  </si>
  <si>
    <t>JD</t>
  </si>
  <si>
    <t>이음부(단차)</t>
  </si>
  <si>
    <t>JF</t>
  </si>
  <si>
    <t>이음부(손상)</t>
  </si>
  <si>
    <t>JS</t>
  </si>
  <si>
    <t>이음부(이탈)</t>
  </si>
  <si>
    <t>LD</t>
  </si>
  <si>
    <t>라이닝 결함</t>
  </si>
  <si>
    <t>LP</t>
  </si>
  <si>
    <t>연결관(돌출)</t>
  </si>
  <si>
    <t>LS</t>
  </si>
  <si>
    <t>연결관(접합부 이상)</t>
  </si>
  <si>
    <t>NS</t>
  </si>
  <si>
    <t>역경사</t>
  </si>
  <si>
    <t>OUT_CAR</t>
  </si>
  <si>
    <t>하수관로 외부(자동차)</t>
  </si>
  <si>
    <t>OUT_INVERT</t>
  </si>
  <si>
    <t>하수관로 외부(인버트)</t>
  </si>
  <si>
    <t>OUT_MH</t>
  </si>
  <si>
    <t>하수관로 외부(맨홀)</t>
  </si>
  <si>
    <t>PJ</t>
  </si>
  <si>
    <t>이음부(정상)</t>
  </si>
  <si>
    <t>PO</t>
  </si>
  <si>
    <t>영구장애물</t>
  </si>
  <si>
    <t>RT</t>
  </si>
  <si>
    <t>뿌리침입</t>
  </si>
  <si>
    <t>SD</t>
  </si>
  <si>
    <t>표면손상</t>
  </si>
  <si>
    <t>SG</t>
  </si>
  <si>
    <t>침하</t>
  </si>
  <si>
    <t>TO</t>
  </si>
  <si>
    <t>임시장애물</t>
  </si>
  <si>
    <t>AI_CCTV_DATASET / original 상세 현황</t>
  </si>
  <si>
    <t>기준 경로: E:\AI_CCTV_DATASET\original  |  집계 시각: 2026. 7. 14. AM 3:13:11 (KST)</t>
  </si>
  <si>
    <t>연도</t>
  </si>
  <si>
    <t>원본 폴더명</t>
  </si>
  <si>
    <t>분할 내 이미지만</t>
  </si>
  <si>
    <t>분할 내 라벨만</t>
  </si>
  <si>
    <t>다른 split에서 찾음</t>
  </si>
  <si>
    <t>최종 상태</t>
  </si>
  <si>
    <t>확인/조치 내용</t>
  </si>
  <si>
    <t>이미지 형식</t>
  </si>
  <si>
    <t>라벨 형식</t>
  </si>
  <si>
    <t>이미지 원본 위치</t>
  </si>
  <si>
    <t>라벨 원본 위치</t>
  </si>
  <si>
    <t>통합</t>
  </si>
  <si>
    <t>일치</t>
  </si>
  <si>
    <t>.png:36000</t>
  </si>
  <si>
    <t>.txt:36000</t>
  </si>
  <si>
    <t>E:\AI_CCTV_DATASET\original\aihub_data_bbox\image\BK</t>
  </si>
  <si>
    <t>E:\AI_CCTV_DATASET\original\aihub_data_bbox\labels\BK</t>
  </si>
  <si>
    <t>.png:18000</t>
  </si>
  <si>
    <t>.txt:18000</t>
  </si>
  <si>
    <t>E:\AI_CCTV_DATASET\original\aihub_data_bbox\image\CC</t>
  </si>
  <si>
    <t>E:\AI_CCTV_DATASET\original\aihub_data_bbox\labels\CC</t>
  </si>
  <si>
    <t>E:\AI_CCTV_DATASET\original\aihub_data_bbox\image\CL</t>
  </si>
  <si>
    <t>E:\AI_CCTV_DATASET\original\aihub_data_bbox\labels\CL</t>
  </si>
  <si>
    <t>.png:27000</t>
  </si>
  <si>
    <t>.txt:27000</t>
  </si>
  <si>
    <t>E:\AI_CCTV_DATASET\original\aihub_data_bbox\image\DS</t>
  </si>
  <si>
    <t>E:\AI_CCTV_DATASET\original\aihub_data_bbox\labels\DS</t>
  </si>
  <si>
    <t>E:\AI_CCTV_DATASET\original\aihub_data_bbox\image\ETC</t>
  </si>
  <si>
    <t>E:\AI_CCTV_DATASET\original\aihub_data_bbox\labels\ETC</t>
  </si>
  <si>
    <t>.png:90000</t>
  </si>
  <si>
    <t>.txt:90000</t>
  </si>
  <si>
    <t>E:\AI_CCTV_DATASET\original\aihub_data_bbox\image\IN</t>
  </si>
  <si>
    <t>E:\AI_CCTV_DATASET\original\aihub_data_bbox\labels\IN</t>
  </si>
  <si>
    <t>E:\AI_CCTV_DATASET\original\aihub_data_bbox\image\JD</t>
  </si>
  <si>
    <t>E:\AI_CCTV_DATASET\original\aihub_data_bbox\labels\JD</t>
  </si>
  <si>
    <t>E:\AI_CCTV_DATASET\original\aihub_data_bbox\image\JF</t>
  </si>
  <si>
    <t>E:\AI_CCTV_DATASET\original\aihub_data_bbox\labels\JF</t>
  </si>
  <si>
    <t>E:\AI_CCTV_DATASET\original\aihub_data_bbox\image\LP</t>
  </si>
  <si>
    <t>E:\AI_CCTV_DATASET\original\aihub_data_bbox\labels\LP</t>
  </si>
  <si>
    <t>.png:9000</t>
  </si>
  <si>
    <t>.txt:9000</t>
  </si>
  <si>
    <t>E:\AI_CCTV_DATASET\original\aihub_data_bbox\image\OUT_CAR</t>
  </si>
  <si>
    <t>E:\AI_CCTV_DATASET\original\aihub_data_bbox\labels\OUT_CAR</t>
  </si>
  <si>
    <t>E:\AI_CCTV_DATASET\original\aihub_data_bbox\image\OUT_INVERT</t>
  </si>
  <si>
    <t>E:\AI_CCTV_DATASET\original\aihub_data_bbox\labels\OUT_INVERT</t>
  </si>
  <si>
    <t>E:\AI_CCTV_DATASET\original\aihub_data_bbox\image\OUT_MH</t>
  </si>
  <si>
    <t>E:\AI_CCTV_DATASET\original\aihub_data_bbox\labels\OUT_MH</t>
  </si>
  <si>
    <t>.png:45000</t>
  </si>
  <si>
    <t>.txt:45000</t>
  </si>
  <si>
    <t>E:\AI_CCTV_DATASET\original\aihub_data_bbox\image\PJ</t>
  </si>
  <si>
    <t>E:\AI_CCTV_DATASET\original\aihub_data_bbox\labels\PJ</t>
  </si>
  <si>
    <t>E:\AI_CCTV_DATASET\original\aihub_data_bbox\image\SD</t>
  </si>
  <si>
    <t>E:\AI_CCTV_DATASET\original\aihub_data_bbox\labels\SD</t>
  </si>
  <si>
    <t>S20</t>
  </si>
  <si>
    <t>2020</t>
  </si>
  <si>
    <t>BC_S20_좌굴</t>
  </si>
  <si>
    <t>.jpg:402, .png:18</t>
  </si>
  <si>
    <t>.xml:420</t>
  </si>
  <si>
    <t>E:\AI_CCTV_DATASET\original\rename_data_s20_s22_bbox\BC_S20_좌굴\images</t>
  </si>
  <si>
    <t>E:\AI_CCTV_DATASET\original\rename_data_s20_s22_bbox\BC_S20_좌굴\labels</t>
  </si>
  <si>
    <t>BK_S20_파손</t>
  </si>
  <si>
    <t>.jpg:1084, .png:634</t>
  </si>
  <si>
    <t>.txt:1718</t>
  </si>
  <si>
    <t>E:\AI_CCTV_DATASET\original\rename_data_s20_s22_bbox\BK_S20_파손\images</t>
  </si>
  <si>
    <t>E:\AI_CCTV_DATASET\original\rename_data_s20_s22_bbox\BK_S20_파손\labels</t>
  </si>
  <si>
    <t>S22</t>
  </si>
  <si>
    <t>2022</t>
  </si>
  <si>
    <t>S22_BK_05파손(BK)</t>
  </si>
  <si>
    <t>.png:397</t>
  </si>
  <si>
    <t>.json:397</t>
  </si>
  <si>
    <t>E:\AI_CCTV_DATASET\original\rename_data_s20_s22_bbox\S22_BK_05파손(BK)\images</t>
  </si>
  <si>
    <t>E:\AI_CCTV_DATASET\original\rename_data_s20_s22_bbox\S22_BK_05파손(BK)\labels</t>
  </si>
  <si>
    <t>CC_S20_균열(원주)</t>
  </si>
  <si>
    <t>.jpg:1126, .png:124</t>
  </si>
  <si>
    <t>.xml:1250</t>
  </si>
  <si>
    <t>E:\AI_CCTV_DATASET\original\rename_data_s20_s22_bbox\CC_S20_균열(원주)\images</t>
  </si>
  <si>
    <t>E:\AI_CCTV_DATASET\original\rename_data_s20_s22_bbox\CC_S20_균열(원주)\labels</t>
  </si>
  <si>
    <t>S22_CC_03균열원주(CC)</t>
  </si>
  <si>
    <t>.png:744</t>
  </si>
  <si>
    <t>.json:744</t>
  </si>
  <si>
    <t>E:\AI_CCTV_DATASET\original\rename_data_s20_s22_bbox\S22_CC_03균열원주(CC)\images</t>
  </si>
  <si>
    <t>E:\AI_CCTV_DATASET\original\rename_data_s20_s22_bbox\S22_CC_03균열원주(CC)\labels</t>
  </si>
  <si>
    <t>CL_S20_균열(길이)</t>
  </si>
  <si>
    <t>.jpg:1073, .png:276</t>
  </si>
  <si>
    <t>.txt:1349</t>
  </si>
  <si>
    <t>E:\AI_CCTV_DATASET\original\rename_data_s20_s22_bbox\CL_S20_균열(길이)\images</t>
  </si>
  <si>
    <t>E:\AI_CCTV_DATASET\original\rename_data_s20_s22_bbox\CL_S20_균열(길이)\labels</t>
  </si>
  <si>
    <t>S22_CL_01균열길이(CL)</t>
  </si>
  <si>
    <t>.png:510</t>
  </si>
  <si>
    <t>.json:510</t>
  </si>
  <si>
    <t>E:\AI_CCTV_DATASET\original\rename_data_s20_s22_bbox\S22_CL_01균열길이(CL)\images</t>
  </si>
  <si>
    <t>E:\AI_CCTV_DATASET\original\rename_data_s20_s22_bbox\S22_CL_01균열길이(CL)\labels</t>
  </si>
  <si>
    <t>CM_S20_균열(복합)</t>
  </si>
  <si>
    <t>.jpg:389, .png:341</t>
  </si>
  <si>
    <t>.xml:730</t>
  </si>
  <si>
    <t>E:\AI_CCTV_DATASET\original\rename_data_s20_s22_bbox\CM_S20_균열(복합)\images</t>
  </si>
  <si>
    <t>E:\AI_CCTV_DATASET\original\rename_data_s20_s22_bbox\CM_S20_균열(복합)\labels</t>
  </si>
  <si>
    <t>S22_CM_02균열복합(CM)</t>
  </si>
  <si>
    <t>.png:41</t>
  </si>
  <si>
    <t>.json:41</t>
  </si>
  <si>
    <t>E:\AI_CCTV_DATASET\original\rename_data_s20_s22_bbox\S22_CM_02균열복합(CM)\images</t>
  </si>
  <si>
    <t>E:\AI_CCTV_DATASET\original\rename_data_s20_s22_bbox\S22_CM_02균열복합(CM)\labels</t>
  </si>
  <si>
    <t>CX_S20_붕괴</t>
  </si>
  <si>
    <t>.jpg:14</t>
  </si>
  <si>
    <t>.xml:14</t>
  </si>
  <si>
    <t>E:\AI_CCTV_DATASET\original\rename_data_s20_s22_bbox\CX_S20_붕괴\images</t>
  </si>
  <si>
    <t>E:\AI_CCTV_DATASET\original\rename_data_s20_s22_bbox\CX_S20_붕괴\labels</t>
  </si>
  <si>
    <t>DE_S20_내피생성</t>
  </si>
  <si>
    <t>.jpg:19, .png:15</t>
  </si>
  <si>
    <t>.xml:34</t>
  </si>
  <si>
    <t>E:\AI_CCTV_DATASET\original\rename_data_s20_s22_bbox\DE_S20_내피생성\images</t>
  </si>
  <si>
    <t>E:\AI_CCTV_DATASET\original\rename_data_s20_s22_bbox\DE_S20_내피생성\labels</t>
  </si>
  <si>
    <t>DF_S20_변형(단면형태변화)</t>
  </si>
  <si>
    <t>.png:249, .jpg:36</t>
  </si>
  <si>
    <t>.txt:285</t>
  </si>
  <si>
    <t>E:\AI_CCTV_DATASET\original\rename_data_s20_s22_bbox\DF_S20_변형(단면형태변화)\images</t>
  </si>
  <si>
    <t>E:\AI_CCTV_DATASET\original\rename_data_s20_s22_bbox\DF_S20_변형(단면형태변화)\labels</t>
  </si>
  <si>
    <t>DG_S20_폐유부착</t>
  </si>
  <si>
    <t>.png:259, .jpg:44</t>
  </si>
  <si>
    <t>.txt:303</t>
  </si>
  <si>
    <t>E:\AI_CCTV_DATASET\original\rename_data_s20_s22_bbox\DG_S20_폐유부착\images</t>
  </si>
  <si>
    <t>E:\AI_CCTV_DATASET\original\rename_data_s20_s22_bbox\DG_S20_폐유부착\labels</t>
  </si>
  <si>
    <t>DS_S20_토사퇴적</t>
  </si>
  <si>
    <t>.jpg:1716, .png:851</t>
  </si>
  <si>
    <t>.txt:2567</t>
  </si>
  <si>
    <t>E:\AI_CCTV_DATASET\original\rename_data_s20_s22_bbox\DS_S20_토사퇴적\images</t>
  </si>
  <si>
    <t>E:\AI_CCTV_DATASET\original\rename_data_s20_s22_bbox\DS_S20_토사퇴적\labels</t>
  </si>
  <si>
    <t>S22_DS_11토사퇴적(DS)</t>
  </si>
  <si>
    <t>.png:425</t>
  </si>
  <si>
    <t>.json:425</t>
  </si>
  <si>
    <t>E:\AI_CCTV_DATASET\original\rename_data_s20_s22_bbox\S22_DS_11토사퇴적(DS)\images</t>
  </si>
  <si>
    <t>E:\AI_CCTV_DATASET\original\rename_data_s20_s22_bbox\S22_DS_11토사퇴적(DS)\labels</t>
  </si>
  <si>
    <t>HL_S20_천공</t>
  </si>
  <si>
    <t>.jpg:568, .png:539</t>
  </si>
  <si>
    <t>.xml:1107</t>
  </si>
  <si>
    <t>E:\AI_CCTV_DATASET\original\rename_data_s20_s22_bbox\HL_S20_천공\images</t>
  </si>
  <si>
    <t>E:\AI_CCTV_DATASET\original\rename_data_s20_s22_bbox\HL_S20_천공\labels</t>
  </si>
  <si>
    <t>IF_S20_침입수</t>
  </si>
  <si>
    <t>.png:88, .jpg:51</t>
  </si>
  <si>
    <t>.txt:139</t>
  </si>
  <si>
    <t>E:\AI_CCTV_DATASET\original\rename_data_s20_s22_bbox\IF_S20_침입수\images</t>
  </si>
  <si>
    <t>E:\AI_CCTV_DATASET\original\rename_data_s20_s22_bbox\IF_S20_침입수\labels</t>
  </si>
  <si>
    <t>JD_S20_이음부(단차)</t>
  </si>
  <si>
    <t>.jpg:1490, .png:345</t>
  </si>
  <si>
    <t>.txt:1835</t>
  </si>
  <si>
    <t>E:\AI_CCTV_DATASET\original\rename_data_s20_s22_bbox\JD_S20_이음부(단차)\images</t>
  </si>
  <si>
    <t>E:\AI_CCTV_DATASET\original\rename_data_s20_s22_bbox\JD_S20_이음부(단차)\labels</t>
  </si>
  <si>
    <t>S22_JD_08이음부단차(JD)</t>
  </si>
  <si>
    <t>.png:400</t>
  </si>
  <si>
    <t>.json:400</t>
  </si>
  <si>
    <t>E:\AI_CCTV_DATASET\original\rename_data_s20_s22_bbox\S22_JD_08이음부단차(JD)\images</t>
  </si>
  <si>
    <t>E:\AI_CCTV_DATASET\original\rename_data_s20_s22_bbox\S22_JD_08이음부단차(JD)\labels</t>
  </si>
  <si>
    <t>JF_S20_이음부(손상)</t>
  </si>
  <si>
    <t>.jpg:5204, .png:441</t>
  </si>
  <si>
    <t>.txt:5645</t>
  </si>
  <si>
    <t>E:\AI_CCTV_DATASET\original\rename_data_s20_s22_bbox\JF_S20_이음부(손상)\images</t>
  </si>
  <si>
    <t>E:\AI_CCTV_DATASET\original\rename_data_s20_s22_bbox\JF_S20_이음부(손상)\labels</t>
  </si>
  <si>
    <t>S22_JF_09이음부손상(JF)</t>
  </si>
  <si>
    <t>E:\AI_CCTV_DATASET\original\rename_data_s20_s22_bbox\S22_JF_09이음부손상(JF)\images</t>
  </si>
  <si>
    <t>E:\AI_CCTV_DATASET\original\rename_data_s20_s22_bbox\S22_JF_09이음부손상(JF)\labels</t>
  </si>
  <si>
    <t>JS_S20_이음부(이탈)</t>
  </si>
  <si>
    <t>.jpg:3207, .png:517</t>
  </si>
  <si>
    <t>.txt:3724</t>
  </si>
  <si>
    <t>E:\AI_CCTV_DATASET\original\rename_data_s20_s22_bbox\JS_S20_이음부(이탈)\images</t>
  </si>
  <si>
    <t>E:\AI_CCTV_DATASET\original\rename_data_s20_s22_bbox\JS_S20_이음부(이탈)\labels</t>
  </si>
  <si>
    <t>S22_JS_10이음부이탈(JS)</t>
  </si>
  <si>
    <t>E:\AI_CCTV_DATASET\original\rename_data_s20_s22_bbox\S22_JS_10이음부이탈(JS)\images</t>
  </si>
  <si>
    <t>E:\AI_CCTV_DATASET\original\rename_data_s20_s22_bbox\S22_JS_10이음부이탈(JS)\labels</t>
  </si>
  <si>
    <t>LD_S20_라이닝결함</t>
  </si>
  <si>
    <t>.jpg:350, .png:76</t>
  </si>
  <si>
    <t>.txt:426</t>
  </si>
  <si>
    <t>E:\AI_CCTV_DATASET\original\rename_data_s20_s22_bbox\LD_S20_라이닝결함\images</t>
  </si>
  <si>
    <t>E:\AI_CCTV_DATASET\original\rename_data_s20_s22_bbox\LD_S20_라이닝결함\labels</t>
  </si>
  <si>
    <t>LP_S20_연결관(돌출)</t>
  </si>
  <si>
    <t>.jpg:4126, .png:1269</t>
  </si>
  <si>
    <t>.txt:5395</t>
  </si>
  <si>
    <t>E:\AI_CCTV_DATASET\original\rename_data_s20_s22_bbox\LP_S20_연결관(돌출)\images</t>
  </si>
  <si>
    <t>E:\AI_CCTV_DATASET\original\rename_data_s20_s22_bbox\LP_S20_연결관(돌출)\labels</t>
  </si>
  <si>
    <t>S22_LP_06연결관돌출(LP)</t>
  </si>
  <si>
    <t>.png:399</t>
  </si>
  <si>
    <t>.json:399</t>
  </si>
  <si>
    <t>E:\AI_CCTV_DATASET\original\rename_data_s20_s22_bbox\S22_LP_06연결관돌출(LP)\images</t>
  </si>
  <si>
    <t>E:\AI_CCTV_DATASET\original\rename_data_s20_s22_bbox\S22_LP_06연결관돌출(LP)\labels</t>
  </si>
  <si>
    <t>LS_S20_연결관(접합부이상)</t>
  </si>
  <si>
    <t>.jpg:7899, .png:497</t>
  </si>
  <si>
    <t>.txt:8396</t>
  </si>
  <si>
    <t>E:\AI_CCTV_DATASET\original\rename_data_s20_s22_bbox\LS_S20_연결관(접합부이상)\images</t>
  </si>
  <si>
    <t>E:\AI_CCTV_DATASET\original\rename_data_s20_s22_bbox\LS_S20_연결관(접합부이상)\labels</t>
  </si>
  <si>
    <t>S22_LS_07연결관접합부(LS)</t>
  </si>
  <si>
    <t>E:\AI_CCTV_DATASET\original\rename_data_s20_s22_bbox\S22_LS_07연결관접합부(LS)\images</t>
  </si>
  <si>
    <t>E:\AI_CCTV_DATASET\original\rename_data_s20_s22_bbox\S22_LS_07연결관접합부(LS)\labels</t>
  </si>
  <si>
    <t>NS_S20_역경사</t>
  </si>
  <si>
    <t>.jpg:4</t>
  </si>
  <si>
    <t>.txt:4</t>
  </si>
  <si>
    <t>E:\AI_CCTV_DATASET\original\rename_data_s20_s22_bbox\NS_S20_역경사\images</t>
  </si>
  <si>
    <t>E:\AI_CCTV_DATASET\original\rename_data_s20_s22_bbox\NS_S20_역경사\labels</t>
  </si>
  <si>
    <t>PO_S20_영구장애물</t>
  </si>
  <si>
    <t>.jpg:424, .png:406</t>
  </si>
  <si>
    <t>.xml:830</t>
  </si>
  <si>
    <t>E:\AI_CCTV_DATASET\original\rename_data_s20_s22_bbox\PO_S20_영구장애물\images</t>
  </si>
  <si>
    <t>E:\AI_CCTV_DATASET\original\rename_data_s20_s22_bbox\PO_S20_영구장애물\labels</t>
  </si>
  <si>
    <t>RT_S20_뿌리침입</t>
  </si>
  <si>
    <t>.jpg:317, .png:233</t>
  </si>
  <si>
    <t>.xml:550</t>
  </si>
  <si>
    <t>E:\AI_CCTV_DATASET\original\rename_data_s20_s22_bbox\RT_S20_뿌리침입\images</t>
  </si>
  <si>
    <t>E:\AI_CCTV_DATASET\original\rename_data_s20_s22_bbox\RT_S20_뿌리침입\labels</t>
  </si>
  <si>
    <t>SD_S20_표면손상</t>
  </si>
  <si>
    <t>.jpg:1717, .png:209</t>
  </si>
  <si>
    <t>.xml:1926</t>
  </si>
  <si>
    <t>E:\AI_CCTV_DATASET\original\rename_data_s20_s22_bbox\SD_S20_표면손상\images</t>
  </si>
  <si>
    <t>E:\AI_CCTV_DATASET\original\rename_data_s20_s22_bbox\SD_S20_표면손상\labels</t>
  </si>
  <si>
    <t>S22_SD_04표면손상(SD)</t>
  </si>
  <si>
    <t>E:\AI_CCTV_DATASET\original\rename_data_s20_s22_bbox\S22_SD_04표면손상(SD)\images</t>
  </si>
  <si>
    <t>E:\AI_CCTV_DATASET\original\rename_data_s20_s22_bbox\S22_SD_04표면손상(SD)\labels</t>
  </si>
  <si>
    <t>SG_S20_침하</t>
  </si>
  <si>
    <t>.png:556, .jpg:75</t>
  </si>
  <si>
    <t>.xml:631</t>
  </si>
  <si>
    <t>E:\AI_CCTV_DATASET\original\rename_data_s20_s22_bbox\SG_S20_침하\images</t>
  </si>
  <si>
    <t>E:\AI_CCTV_DATASET\original\rename_data_s20_s22_bbox\SG_S20_침하\labels</t>
  </si>
  <si>
    <t>TO_S20_임시장애물</t>
  </si>
  <si>
    <t>.png:514, .jpg:166</t>
  </si>
  <si>
    <t>.xml:680</t>
  </si>
  <si>
    <t>E:\AI_CCTV_DATASET\original\rename_data_s20_s22_bbox\TO_S20_임시장애물\images</t>
  </si>
  <si>
    <t>E:\AI_CCTV_DATASET\original\rename_data_s20_s22_bbox\TO_S20_임시장애물\labels</t>
  </si>
  <si>
    <t>전체</t>
  </si>
  <si>
    <t>1-3.파손(Broken-Pipe,BK)</t>
  </si>
  <si>
    <t>.png:2998</t>
  </si>
  <si>
    <t>.txt:2998</t>
  </si>
  <si>
    <t>E:\AI_CCTV_DATASET\original\aihub_data_seg\image\1-3.파손(Broken-Pipe,BK)</t>
  </si>
  <si>
    <t>E:\AI_CCTV_DATASET\original\aihub_data_seg\labels\BK</t>
  </si>
  <si>
    <t>1-1-2.균열-원주(Crack-Circumferential,CC)</t>
  </si>
  <si>
    <t>.png:2993</t>
  </si>
  <si>
    <t>.txt:2993</t>
  </si>
  <si>
    <t>E:\AI_CCTV_DATASET\original\aihub_data_seg\image\1-1-2.균열-원주(Crack-Circumferential,CC)</t>
  </si>
  <si>
    <t>E:\AI_CCTV_DATASET\original\aihub_data_seg\labels\CC</t>
  </si>
  <si>
    <t>1-1-1.균열-길이(Crack-Longitudinal,CL)</t>
  </si>
  <si>
    <t>.png:3995</t>
  </si>
  <si>
    <t>.txt:3995</t>
  </si>
  <si>
    <t>E:\AI_CCTV_DATASET\original\aihub_data_seg\image\1-1-1.균열-길이(Crack-Longitudinal,CL)</t>
  </si>
  <si>
    <t>E:\AI_CCTV_DATASET\original\aihub_data_seg\labels\CL</t>
  </si>
  <si>
    <t>1-7.토사퇴적(Deposits-Silty,DS)</t>
  </si>
  <si>
    <t>.png:2999</t>
  </si>
  <si>
    <t>.txt:2999</t>
  </si>
  <si>
    <t>E:\AI_CCTV_DATASET\original\aihub_data_seg\image\1-7.토사퇴적(Deposits-Silty,DS)</t>
  </si>
  <si>
    <t>E:\AI_CCTV_DATASET\original\aihub_data_seg\labels\DS</t>
  </si>
  <si>
    <t>1-8.기타결함(Etc.,ETC)</t>
  </si>
  <si>
    <t>.png:4994</t>
  </si>
  <si>
    <t>.txt:4994</t>
  </si>
  <si>
    <t>E:\AI_CCTV_DATASET\original\aihub_data_seg\image\1-8.기타결함(Etc.,ETC)</t>
  </si>
  <si>
    <t>E:\AI_CCTV_DATASET\original\aihub_data_seg\labels\ETC</t>
  </si>
  <si>
    <t>1-6.이음부-단차(Joint-Displaced,JD)</t>
  </si>
  <si>
    <t>.png:3000</t>
  </si>
  <si>
    <t>.txt:3000</t>
  </si>
  <si>
    <t>E:\AI_CCTV_DATASET\original\aihub_data_seg\image\1-6.이음부-단차(Joint-Displaced,JD)</t>
  </si>
  <si>
    <t>E:\AI_CCTV_DATASET\original\aihub_data_seg\labels\JD</t>
  </si>
  <si>
    <t>1-5.이음부-손상(Joint-Faulty,JF)</t>
  </si>
  <si>
    <t>.png:2997</t>
  </si>
  <si>
    <t>.txt:2997</t>
  </si>
  <si>
    <t>E:\AI_CCTV_DATASET\original\aihub_data_seg\image\1-5.이음부-손상(Joint-Faulty,JF)</t>
  </si>
  <si>
    <t>E:\AI_CCTV_DATASET\original\aihub_data_seg\labels\JF</t>
  </si>
  <si>
    <t>1-4.연결관-돌출(Lateral-Protruding,LP)</t>
  </si>
  <si>
    <t>E:\AI_CCTV_DATASET\original\aihub_data_seg\image\1-4.연결관-돌출(Lateral-Protruding,LP)</t>
  </si>
  <si>
    <t>E:\AI_CCTV_DATASET\original\aihub_data_seg\labels\LP</t>
  </si>
  <si>
    <t>1-2.표면손상(Surface-Damage,SD)</t>
  </si>
  <si>
    <t>E:\AI_CCTV_DATASET\original\aihub_data_seg\image\1-2.표면손상(Surface-Damage,SD)</t>
  </si>
  <si>
    <t>E:\AI_CCTV_DATASET\original\aihub_data_seg\labels\SD</t>
  </si>
  <si>
    <t>.jpg:105</t>
  </si>
  <si>
    <t>.json:105</t>
  </si>
  <si>
    <t>E:\AI_CCTV_DATASET\original\rename_data_s20_s22_seg\BC_S20_좌굴\images</t>
  </si>
  <si>
    <t>E:\AI_CCTV_DATASET\original\rename_data_s20_s22_seg\BC_S20_좌굴\labels</t>
  </si>
  <si>
    <t>.jpg:584, .png:146</t>
  </si>
  <si>
    <t>.xml:600, .json:130</t>
  </si>
  <si>
    <t>E:\AI_CCTV_DATASET\original\rename_data_s20_s22_seg\BK_S20_파손\images</t>
  </si>
  <si>
    <t>E:\AI_CCTV_DATASET\original\rename_data_s20_s22_seg\BK_S20_파손\labels</t>
  </si>
  <si>
    <t>.png:100</t>
  </si>
  <si>
    <t>.json:100</t>
  </si>
  <si>
    <t>E:\AI_CCTV_DATASET\original\rename_data_s20_s22_seg\S22_BK_05파손(BK)\images</t>
  </si>
  <si>
    <t>E:\AI_CCTV_DATASET\original\rename_data_s20_s22_seg\S22_BK_05파손(BK)\labels</t>
  </si>
  <si>
    <t>.jpg:615, .png:111</t>
  </si>
  <si>
    <t>.xml:539, .json:187</t>
  </si>
  <si>
    <t>E:\AI_CCTV_DATASET\original\rename_data_s20_s22_seg\CC_S20_균열(원주)\images</t>
  </si>
  <si>
    <t>E:\AI_CCTV_DATASET\original\rename_data_s20_s22_seg\CC_S20_균열(원주)\labels</t>
  </si>
  <si>
    <t>E:\AI_CCTV_DATASET\original\rename_data_s20_s22_seg\S22_CC_03균열원주(CC)\images</t>
  </si>
  <si>
    <t>E:\AI_CCTV_DATASET\original\rename_data_s20_s22_seg\S22_CC_03균열원주(CC)\labels</t>
  </si>
  <si>
    <t>.jpg:641, .png:69</t>
  </si>
  <si>
    <t>.xml:604, .json:106</t>
  </si>
  <si>
    <t>E:\AI_CCTV_DATASET\original\rename_data_s20_s22_seg\CL_S20_균열(길이)\images</t>
  </si>
  <si>
    <t>E:\AI_CCTV_DATASET\original\rename_data_s20_s22_seg\CL_S20_균열(길이)\labels</t>
  </si>
  <si>
    <t>E:\AI_CCTV_DATASET\original\rename_data_s20_s22_seg\S22_CL_01균열길이(CL)\images</t>
  </si>
  <si>
    <t>E:\AI_CCTV_DATASET\original\rename_data_s20_s22_seg\S22_CL_01균열길이(CL)\labels</t>
  </si>
  <si>
    <t>.png:182, .jpg:125</t>
  </si>
  <si>
    <t>.json:224, .xml:83</t>
  </si>
  <si>
    <t>E:\AI_CCTV_DATASET\original\rename_data_s20_s22_seg\CM_S20_균열(복합)\images</t>
  </si>
  <si>
    <t>E:\AI_CCTV_DATASET\original\rename_data_s20_s22_seg\CM_S20_균열(복합)\labels</t>
  </si>
  <si>
    <t>.png:40</t>
  </si>
  <si>
    <t>.json:40</t>
  </si>
  <si>
    <t>E:\AI_CCTV_DATASET\original\rename_data_s20_s22_seg\S22_CM_02균열복합(CM)\images</t>
  </si>
  <si>
    <t>E:\AI_CCTV_DATASET\original\rename_data_s20_s22_seg\S22_CM_02균열복합(CM)\labels</t>
  </si>
  <si>
    <t>.jpg:9</t>
  </si>
  <si>
    <t>.xml:9</t>
  </si>
  <si>
    <t>E:\AI_CCTV_DATASET\original\rename_data_s20_s22_seg\CX_S20_붕괴\images</t>
  </si>
  <si>
    <t>E:\AI_CCTV_DATASET\original\rename_data_s20_s22_seg\CX_S20_붕괴\labels</t>
  </si>
  <si>
    <t>.png:13, .jpg:11</t>
  </si>
  <si>
    <t>.json:13, .xml:11</t>
  </si>
  <si>
    <t>E:\AI_CCTV_DATASET\original\rename_data_s20_s22_seg\DE_S20_내피생성\images</t>
  </si>
  <si>
    <t>E:\AI_CCTV_DATASET\original\rename_data_s20_s22_seg\DE_S20_내피생성\labels</t>
  </si>
  <si>
    <t>.png:66, .jpg:7</t>
  </si>
  <si>
    <t>.json:66, .xml:7</t>
  </si>
  <si>
    <t>E:\AI_CCTV_DATASET\original\rename_data_s20_s22_seg\DF_S20_변형(단면형태변화)\images</t>
  </si>
  <si>
    <t>E:\AI_CCTV_DATASET\original\rename_data_s20_s22_seg\DF_S20_변형(단면형태변화)\labels</t>
  </si>
  <si>
    <t>.png:147, .jpg:14</t>
  </si>
  <si>
    <t>.json:147, .xml:14</t>
  </si>
  <si>
    <t>E:\AI_CCTV_DATASET\original\rename_data_s20_s22_seg\DG_S20_폐유부착\images</t>
  </si>
  <si>
    <t>E:\AI_CCTV_DATASET\original\rename_data_s20_s22_seg\DG_S20_폐유부착\labels</t>
  </si>
  <si>
    <t>.jpg:608, .png:255</t>
  </si>
  <si>
    <t>.xml:656, .json:207</t>
  </si>
  <si>
    <t>E:\AI_CCTV_DATASET\original\rename_data_s20_s22_seg\DS_S20_토사퇴적\images</t>
  </si>
  <si>
    <t>E:\AI_CCTV_DATASET\original\rename_data_s20_s22_seg\DS_S20_토사퇴적\labels</t>
  </si>
  <si>
    <t>E:\AI_CCTV_DATASET\original\rename_data_s20_s22_seg\S22_DS_11토사퇴적(DS)\images</t>
  </si>
  <si>
    <t>E:\AI_CCTV_DATASET\original\rename_data_s20_s22_seg\S22_DS_11토사퇴적(DS)\labels</t>
  </si>
  <si>
    <t>.png:196, .jpg:151</t>
  </si>
  <si>
    <t>.json:196, .xml:151</t>
  </si>
  <si>
    <t>E:\AI_CCTV_DATASET\original\rename_data_s20_s22_seg\HL_S20_천공\images</t>
  </si>
  <si>
    <t>E:\AI_CCTV_DATASET\original\rename_data_s20_s22_seg\HL_S20_천공\labels</t>
  </si>
  <si>
    <t>.png:117, .jpg:15</t>
  </si>
  <si>
    <t>.json:117, .xml:15</t>
  </si>
  <si>
    <t>E:\AI_CCTV_DATASET\original\rename_data_s20_s22_seg\IF_S20_침입수\images</t>
  </si>
  <si>
    <t>E:\AI_CCTV_DATASET\original\rename_data_s20_s22_seg\IF_S20_침입수\labels</t>
  </si>
  <si>
    <t>.jpg:533, .png:46</t>
  </si>
  <si>
    <t>.xml:533, .json:46</t>
  </si>
  <si>
    <t>E:\AI_CCTV_DATASET\original\rename_data_s20_s22_seg\JD_S20_이음부(단차)\images</t>
  </si>
  <si>
    <t>E:\AI_CCTV_DATASET\original\rename_data_s20_s22_seg\JD_S20_이음부(단차)\labels</t>
  </si>
  <si>
    <t>E:\AI_CCTV_DATASET\original\rename_data_s20_s22_seg\S22_JD_08이음부단차(JD)\images</t>
  </si>
  <si>
    <t>E:\AI_CCTV_DATASET\original\rename_data_s20_s22_seg\S22_JD_08이음부단차(JD)\labels</t>
  </si>
  <si>
    <t>.jpg:670, .png:130</t>
  </si>
  <si>
    <t>.xml:691, .json:109</t>
  </si>
  <si>
    <t>E:\AI_CCTV_DATASET\original\rename_data_s20_s22_seg\JF_S20_이음부(손상)\images</t>
  </si>
  <si>
    <t>E:\AI_CCTV_DATASET\original\rename_data_s20_s22_seg\JF_S20_이음부(손상)\labels</t>
  </si>
  <si>
    <t>E:\AI_CCTV_DATASET\original\rename_data_s20_s22_seg\S22_JF_09이음부손상(JF)\images</t>
  </si>
  <si>
    <t>E:\AI_CCTV_DATASET\original\rename_data_s20_s22_seg\S22_JF_09이음부손상(JF)\labels</t>
  </si>
  <si>
    <t>.jpg:598, .png:202</t>
  </si>
  <si>
    <t>.xml:695, .json:105</t>
  </si>
  <si>
    <t>E:\AI_CCTV_DATASET\original\rename_data_s20_s22_seg\JS_S20_이음부(이탈)\images</t>
  </si>
  <si>
    <t>E:\AI_CCTV_DATASET\original\rename_data_s20_s22_seg\JS_S20_이음부(이탈)\labels</t>
  </si>
  <si>
    <t>E:\AI_CCTV_DATASET\original\rename_data_s20_s22_seg\S22_JS_10이음부이탈(JS)\images</t>
  </si>
  <si>
    <t>E:\AI_CCTV_DATASET\original\rename_data_s20_s22_seg\S22_JS_10이음부이탈(JS)\labels</t>
  </si>
  <si>
    <t>.jpg:96, .png:16</t>
  </si>
  <si>
    <t>.json:105, .xml:7</t>
  </si>
  <si>
    <t>E:\AI_CCTV_DATASET\original\rename_data_s20_s22_seg\LD_S20_라이닝결함\images</t>
  </si>
  <si>
    <t>E:\AI_CCTV_DATASET\original\rename_data_s20_s22_seg\LD_S20_라이닝결함\labels</t>
  </si>
  <si>
    <t>.jpg:603, .png:197</t>
  </si>
  <si>
    <t>.xml:681, .json:119</t>
  </si>
  <si>
    <t>E:\AI_CCTV_DATASET\original\rename_data_s20_s22_seg\LP_S20_연결관(돌출)\images</t>
  </si>
  <si>
    <t>E:\AI_CCTV_DATASET\original\rename_data_s20_s22_seg\LP_S20_연결관(돌출)\labels</t>
  </si>
  <si>
    <t>E:\AI_CCTV_DATASET\original\rename_data_s20_s22_seg\S22_LP_06연결관돌출(LP)\images</t>
  </si>
  <si>
    <t>E:\AI_CCTV_DATASET\original\rename_data_s20_s22_seg\S22_LP_06연결관돌출(LP)\labels</t>
  </si>
  <si>
    <t>.jpg:792, .png:98</t>
  </si>
  <si>
    <t>.xml:792, .json:98</t>
  </si>
  <si>
    <t>E:\AI_CCTV_DATASET\original\rename_data_s20_s22_seg\LS_S20_연결관(접합부이상)\images</t>
  </si>
  <si>
    <t>E:\AI_CCTV_DATASET\original\rename_data_s20_s22_seg\LS_S20_연결관(접합부이상)\labels</t>
  </si>
  <si>
    <t>E:\AI_CCTV_DATASET\original\rename_data_s20_s22_seg\S22_LS_07연결관접합부(LS)\images</t>
  </si>
  <si>
    <t>E:\AI_CCTV_DATASET\original\rename_data_s20_s22_seg\S22_LS_07연결관접합부(LS)\labels</t>
  </si>
  <si>
    <t>E:\AI_CCTV_DATASET\original\rename_data_s20_s22_seg\NS_S20_역경사\images</t>
  </si>
  <si>
    <t>E:\AI_CCTV_DATASET\original\rename_data_s20_s22_seg\NS_S20_역경사\labels</t>
  </si>
  <si>
    <t>.jpg:118, .png:106</t>
  </si>
  <si>
    <t>.xml:118, .json:106</t>
  </si>
  <si>
    <t>E:\AI_CCTV_DATASET\original\rename_data_s20_s22_seg\PO_S20_영구장애물\images</t>
  </si>
  <si>
    <t>E:\AI_CCTV_DATASET\original\rename_data_s20_s22_seg\PO_S20_영구장애물\labels</t>
  </si>
  <si>
    <t>.jpg:103, .png:41</t>
  </si>
  <si>
    <t>.json:106, .xml:38</t>
  </si>
  <si>
    <t>E:\AI_CCTV_DATASET\original\rename_data_s20_s22_seg\RT_S20_뿌리침입\images</t>
  </si>
  <si>
    <t>E:\AI_CCTV_DATASET\original\rename_data_s20_s22_seg\RT_S20_뿌리침입\labels</t>
  </si>
  <si>
    <t>.jpg:661, .png:39</t>
  </si>
  <si>
    <t>.xml:560, .json:140</t>
  </si>
  <si>
    <t>E:\AI_CCTV_DATASET\original\rename_data_s20_s22_seg\SD_S20_표면손상\images</t>
  </si>
  <si>
    <t>E:\AI_CCTV_DATASET\original\rename_data_s20_s22_seg\SD_S20_표면손상\labels</t>
  </si>
  <si>
    <t>E:\AI_CCTV_DATASET\original\rename_data_s20_s22_seg\S22_SD_04표면손상(SD)\images</t>
  </si>
  <si>
    <t>E:\AI_CCTV_DATASET\original\rename_data_s20_s22_seg\S22_SD_04표면손상(SD)\labels</t>
  </si>
  <si>
    <t>.png:564, .jpg:19</t>
  </si>
  <si>
    <t>.json:564, .xml:19</t>
  </si>
  <si>
    <t>E:\AI_CCTV_DATASET\original\rename_data_s20_s22_seg\SG_S20_침하\images</t>
  </si>
  <si>
    <t>E:\AI_CCTV_DATASET\original\rename_data_s20_s22_seg\SG_S20_침하\labels</t>
  </si>
  <si>
    <t>.png:127, .jpg:54</t>
  </si>
  <si>
    <t>.json:127, .xml:54</t>
  </si>
  <si>
    <t>E:\AI_CCTV_DATASET\original\rename_data_s20_s22_seg\TO_S20_임시장애물\images</t>
  </si>
  <si>
    <t>E:\AI_CCTV_DATASET\original\rename_data_s20_s22_seg\TO_S20_임시장애물\labels</t>
  </si>
  <si>
    <t>original 폴더 구조</t>
  </si>
  <si>
    <t>원본 묶음</t>
  </si>
  <si>
    <t>하위 구조</t>
  </si>
  <si>
    <t>기준 경로 / 비고</t>
  </si>
  <si>
    <t>결함별 폴더 / images, labels</t>
  </si>
  <si>
    <t>JPG, PNG</t>
  </si>
  <si>
    <t>XML(2020), JSON(2022)</t>
  </si>
  <si>
    <t>E:\AI_CCTV_DATASET\original\rename_data_s20_s22_bbox</t>
  </si>
  <si>
    <t>XML·JSON(2020), JSON(2022)</t>
  </si>
  <si>
    <t>E:\AI_CCTV_DATASET\original\rename_data_s20_s22_seg</t>
  </si>
  <si>
    <t>image / 코드별 폴더, labels / 코드별 폴더</t>
  </si>
  <si>
    <t>PNG</t>
  </si>
  <si>
    <t>YOLO TXT</t>
  </si>
  <si>
    <t>E:\AI_CCTV_DATASET\original\aihub_data_bbox  ※ Train·Vaild 통합, 중복 라벨 제거 완료</t>
  </si>
  <si>
    <t>image / 원본 결함명 폴더, labels / 코드별 폴더</t>
  </si>
  <si>
    <t>YOLO Seg TXT</t>
  </si>
  <si>
    <t>E:\AI_CCTV_DATASET\original\aihub_data_seg</t>
  </si>
  <si>
    <t>구조 예시</t>
  </si>
  <si>
    <t>original
├─ rename_data_s20_s22_bbox
│  └─ [결함 폴더]
│     ├─ images
│     └─ labels
├─ rename_data_s20_s22_seg
│  └─ [결함 폴더] / images, labels
├─ aihub_data_bbox
│  ├─ image / [코드]
│  └─ labels / [코드]
└─ aihub_data_seg
   ├─ image
   └─ labels</t>
  </si>
  <si>
    <t>하수관로 결함 클래스 코드</t>
  </si>
  <si>
    <t>클래스 번호</t>
  </si>
  <si>
    <t>분류</t>
  </si>
  <si>
    <t>구조결함</t>
  </si>
  <si>
    <t>운영결함</t>
  </si>
  <si>
    <t>PB</t>
  </si>
  <si>
    <t>막힘</t>
  </si>
  <si>
    <t>정상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</si>
</sst>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F2937"/>
      <name val="맑은 고딕"/>
      <family val="3"/>
      <charset val="129"/>
    </font>
    <font>
      <b/>
      <sz val="11"/>
      <color rgb="FF1F2937"/>
      <name val="맑은 고딕"/>
      <family val="3"/>
      <charset val="129"/>
    </font>
    <font>
      <sz val="10"/>
      <color rgb="FF1F2937"/>
      <name val="Consolas"/>
      <family val="3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F3F6FA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E7E6E6"/>
      </patternFill>
    </fill>
    <fill>
      <patternFill patternType="solid">
        <fgColor rgb="FFFAFAFA"/>
      </patternFill>
    </fill>
  </fills>
  <borders count="1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D9E2E8"/>
      </bottom>
      <diagonal/>
    </border>
    <border>
      <left/>
      <right/>
      <top style="thin">
        <color rgb="FFD9E2E8"/>
      </top>
      <bottom style="thin">
        <color rgb="FFD9E2E8"/>
      </bottom>
      <diagonal/>
    </border>
    <border>
      <left/>
      <right/>
      <top style="thin">
        <color rgb="FFD9E2E8"/>
      </top>
      <bottom/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/>
      <top style="medium">
        <color rgb="FF44546A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3" fontId="2" fillId="0" borderId="2" xfId="1" applyNumberFormat="1" applyFont="1" applyBorder="1" applyAlignment="1">
      <alignment horizontal="right" vertical="center"/>
    </xf>
    <xf numFmtId="3" fontId="2" fillId="0" borderId="3" xfId="1" applyNumberFormat="1" applyFont="1" applyBorder="1" applyAlignment="1">
      <alignment horizontal="right" vertical="center"/>
    </xf>
    <xf numFmtId="3" fontId="2" fillId="0" borderId="4" xfId="1" applyNumberFormat="1" applyFon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3" fontId="2" fillId="0" borderId="5" xfId="1" applyNumberFormat="1" applyFont="1" applyBorder="1" applyAlignment="1">
      <alignment horizontal="right" vertical="center"/>
    </xf>
    <xf numFmtId="3" fontId="2" fillId="0" borderId="6" xfId="1" applyNumberFormat="1" applyFont="1" applyBorder="1" applyAlignment="1">
      <alignment horizontal="right" vertical="center"/>
    </xf>
    <xf numFmtId="3" fontId="4" fillId="4" borderId="8" xfId="1" applyNumberFormat="1" applyFont="1" applyFill="1" applyBorder="1" applyAlignment="1">
      <alignment horizontal="right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5" fillId="7" borderId="0" xfId="1" applyFont="1" applyFill="1"/>
    <xf numFmtId="0" fontId="2" fillId="6" borderId="0" xfId="1" applyFont="1" applyFill="1" applyAlignment="1">
      <alignment wrapText="1"/>
    </xf>
    <xf numFmtId="0" fontId="2" fillId="3" borderId="0" xfId="1" applyFont="1" applyFill="1"/>
    <xf numFmtId="0" fontId="4" fillId="4" borderId="8" xfId="1" applyFont="1" applyFill="1" applyBorder="1" applyAlignment="1">
      <alignment vertical="center"/>
    </xf>
    <xf numFmtId="0" fontId="0" fillId="0" borderId="8" xfId="0" applyBorder="1"/>
    <xf numFmtId="0" fontId="5" fillId="5" borderId="0" xfId="1" applyFont="1" applyFill="1"/>
    <xf numFmtId="0" fontId="2" fillId="3" borderId="0" xfId="1" applyFont="1" applyFill="1" applyAlignment="1">
      <alignment vertical="center"/>
    </xf>
    <xf numFmtId="0" fontId="6" fillId="8" borderId="1" xfId="1" applyFont="1" applyFill="1" applyBorder="1" applyAlignment="1">
      <alignment vertical="top" wrapText="1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13" xfId="0" applyBorder="1"/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1000000}"/>
    <cellStyle name="표준" xfId="0" builtinId="0"/>
  </cellStyles>
  <dxfs count="9">
    <dxf>
      <font>
        <b/>
      </font>
      <fill>
        <patternFill patternType="solid">
          <bgColor rgb="FFFFF2CC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color rgb="FF1F2937"/>
      </font>
      <fill>
        <patternFill patternType="solid">
          <bgColor rgb="FFFFF2CC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color rgb="FF2E7D32"/>
      </font>
      <fill>
        <patternFill patternType="solid">
          <bgColor rgb="FFE2F0D9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ectTotalsTable" displayName="DefectTotalsTable" ref="A4:J59" totalsRowShown="0">
  <tableColumns count="10">
    <tableColumn id="1" xr3:uid="{00000000-0010-0000-0000-000001000000}" name="작업"/>
    <tableColumn id="2" xr3:uid="{00000000-0010-0000-0000-000002000000}" name="코드"/>
    <tableColumn id="3" xr3:uid="{00000000-0010-0000-0000-000003000000}" name="결함 종류"/>
    <tableColumn id="4" xr3:uid="{00000000-0010-0000-0000-000004000000}" name="이미지 수"/>
    <tableColumn id="5" xr3:uid="{00000000-0010-0000-0000-000005000000}" name="라벨 수"/>
    <tableColumn id="6" xr3:uid="{00000000-0010-0000-0000-000006000000}" name="분할 내 매칭"/>
    <tableColumn id="7" xr3:uid="{00000000-0010-0000-0000-000007000000}" name="실제 이미지만"/>
    <tableColumn id="8" xr3:uid="{00000000-0010-0000-0000-000008000000}" name="실제 라벨만"/>
    <tableColumn id="9" xr3:uid="{00000000-0010-0000-0000-000009000000}" name="원본 묶음 수"/>
    <tableColumn id="10" xr3:uid="{00000000-0010-0000-0000-00000A000000}" name="상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iginalDetailTable" displayName="OriginalDetailTable" ref="A4:U97" totalsRowShown="0">
  <tableColumns count="21">
    <tableColumn id="1" xr3:uid="{00000000-0010-0000-0100-000001000000}" name="데이터셋"/>
    <tableColumn id="2" xr3:uid="{00000000-0010-0000-0100-000002000000}" name="작업"/>
    <tableColumn id="3" xr3:uid="{00000000-0010-0000-0100-000003000000}" name="구분"/>
    <tableColumn id="4" xr3:uid="{00000000-0010-0000-0100-000004000000}" name="연도"/>
    <tableColumn id="5" xr3:uid="{00000000-0010-0000-0100-000005000000}" name="코드"/>
    <tableColumn id="6" xr3:uid="{00000000-0010-0000-0100-000006000000}" name="결함 종류"/>
    <tableColumn id="7" xr3:uid="{00000000-0010-0000-0100-000007000000}" name="원본 폴더명"/>
    <tableColumn id="8" xr3:uid="{00000000-0010-0000-0100-000008000000}" name="이미지 수"/>
    <tableColumn id="9" xr3:uid="{00000000-0010-0000-0100-000009000000}" name="라벨 수"/>
    <tableColumn id="10" xr3:uid="{00000000-0010-0000-0100-00000A000000}" name="분할 내 매칭"/>
    <tableColumn id="11" xr3:uid="{00000000-0010-0000-0100-00000B000000}" name="분할 내 이미지만"/>
    <tableColumn id="12" xr3:uid="{00000000-0010-0000-0100-00000C000000}" name="분할 내 라벨만"/>
    <tableColumn id="13" xr3:uid="{00000000-0010-0000-0100-00000D000000}" name="다른 split에서 찾음"/>
    <tableColumn id="14" xr3:uid="{00000000-0010-0000-0100-00000E000000}" name="실제 이미지만"/>
    <tableColumn id="15" xr3:uid="{00000000-0010-0000-0100-00000F000000}" name="실제 라벨만"/>
    <tableColumn id="16" xr3:uid="{00000000-0010-0000-0100-000010000000}" name="최종 상태"/>
    <tableColumn id="17" xr3:uid="{00000000-0010-0000-0100-000011000000}" name="확인/조치 내용"/>
    <tableColumn id="18" xr3:uid="{00000000-0010-0000-0100-000012000000}" name="이미지 형식"/>
    <tableColumn id="19" xr3:uid="{00000000-0010-0000-0100-000013000000}" name="라벨 형식"/>
    <tableColumn id="20" xr3:uid="{00000000-0010-0000-0100-000014000000}" name="이미지 원본 위치"/>
    <tableColumn id="21" xr3:uid="{00000000-0010-0000-0100-000015000000}" name="라벨 원본 위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assCodeTable" displayName="ClassCodeTable" ref="A3:D34" totalsRowShown="0">
  <tableColumns count="4">
    <tableColumn id="1" xr3:uid="{00000000-0010-0000-0200-000001000000}" name="클래스 번호"/>
    <tableColumn id="2" xr3:uid="{00000000-0010-0000-0200-000002000000}" name="코드"/>
    <tableColumn id="3" xr3:uid="{00000000-0010-0000-0200-000003000000}" name="분류"/>
    <tableColumn id="4" xr3:uid="{00000000-0010-0000-0200-000004000000}" name="결함 종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"/>
  <sheetViews>
    <sheetView showGridLines="0" tabSelected="1" workbookViewId="0">
      <selection sqref="A1:J1"/>
    </sheetView>
  </sheetViews>
  <sheetFormatPr defaultRowHeight="13.8"/>
  <cols>
    <col min="1" max="1" width="23.69921875" customWidth="1"/>
    <col min="2" max="2" width="8.69921875" customWidth="1"/>
    <col min="3" max="3" width="33.69921875" customWidth="1"/>
    <col min="4" max="4" width="10" customWidth="1"/>
    <col min="5" max="5" width="11.19921875" customWidth="1"/>
    <col min="6" max="7" width="12.5" customWidth="1"/>
    <col min="8" max="8" width="15.59765625" customWidth="1"/>
    <col min="9" max="10" width="11.8984375" customWidth="1"/>
  </cols>
  <sheetData>
    <row r="1" spans="1:10" ht="30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.6" customHeight="1">
      <c r="A2" s="26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4" spans="1:10" ht="28.0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5.6" customHeight="1">
      <c r="A5" s="11" t="s">
        <v>12</v>
      </c>
      <c r="B5" s="16" t="s">
        <v>13</v>
      </c>
      <c r="C5" s="11" t="s">
        <v>14</v>
      </c>
      <c r="D5" s="13">
        <v>35</v>
      </c>
      <c r="E5" s="13">
        <v>24</v>
      </c>
      <c r="F5" s="13">
        <f>SUMIF('상세 현황'!$A$5:$A$97,A5,'상세 현황'!$H$5:$H$97)</f>
        <v>44474</v>
      </c>
      <c r="G5" s="13">
        <f>SUMIF('상세 현황'!$A$5:$A$97,A5,'상세 현황'!$I$5:$I$97)</f>
        <v>44474</v>
      </c>
      <c r="H5" s="13">
        <f>SUMIF('상세 현황'!$A$5:$A$97,A5,'상세 현황'!$J$5:$J$97)</f>
        <v>44474</v>
      </c>
      <c r="I5" s="13">
        <f>SUMIF('상세 현황'!$A$5:$A$97,A5,'상세 현황'!$N$5:$N$97)+SUMIF('상세 현황'!$A$5:$A$97,A5,'상세 현황'!$O$5:$O$97)</f>
        <v>0</v>
      </c>
      <c r="J5" s="16" t="str">
        <f>IF(I5=0,"일치","확인 필요")</f>
        <v>일치</v>
      </c>
    </row>
    <row r="6" spans="1:10" ht="15.6" customHeight="1">
      <c r="A6" s="12" t="s">
        <v>15</v>
      </c>
      <c r="B6" s="17" t="s">
        <v>13</v>
      </c>
      <c r="C6" s="12" t="s">
        <v>16</v>
      </c>
      <c r="D6" s="14">
        <v>14</v>
      </c>
      <c r="E6" s="14">
        <v>14</v>
      </c>
      <c r="F6" s="14">
        <f>SUMIF('상세 현황'!$A$5:$A$97,A6,'상세 현황'!$H$5:$H$97)</f>
        <v>423000</v>
      </c>
      <c r="G6" s="14">
        <f>SUMIF('상세 현황'!$A$5:$A$97,A6,'상세 현황'!$I$5:$I$97)</f>
        <v>423000</v>
      </c>
      <c r="H6" s="14">
        <f>SUMIF('상세 현황'!$A$5:$A$97,A6,'상세 현황'!$J$5:$J$97)</f>
        <v>423000</v>
      </c>
      <c r="I6" s="14">
        <f>SUMIF('상세 현황'!$A$5:$A$97,A6,'상세 현황'!$N$5:$N$97)+SUMIF('상세 현황'!$A$5:$A$97,A6,'상세 현황'!$O$5:$O$97)</f>
        <v>0</v>
      </c>
      <c r="J6" s="17" t="str">
        <f>IF(I6=0,"일치","확인 필요")</f>
        <v>일치</v>
      </c>
    </row>
    <row r="7" spans="1:10" ht="15.6" customHeight="1">
      <c r="A7" s="12" t="s">
        <v>17</v>
      </c>
      <c r="B7" s="17" t="s">
        <v>18</v>
      </c>
      <c r="C7" s="12" t="s">
        <v>14</v>
      </c>
      <c r="D7" s="14">
        <v>35</v>
      </c>
      <c r="E7" s="14">
        <v>24</v>
      </c>
      <c r="F7" s="14">
        <f>SUMIF('상세 현황'!$A$5:$A$97,A7,'상세 현황'!$H$5:$H$97)</f>
        <v>11040</v>
      </c>
      <c r="G7" s="14">
        <f>SUMIF('상세 현황'!$A$5:$A$97,A7,'상세 현황'!$I$5:$I$97)</f>
        <v>11040</v>
      </c>
      <c r="H7" s="14">
        <f>SUMIF('상세 현황'!$A$5:$A$97,A7,'상세 현황'!$J$5:$J$97)</f>
        <v>11040</v>
      </c>
      <c r="I7" s="14">
        <f>SUMIF('상세 현황'!$A$5:$A$97,A7,'상세 현황'!$N$5:$N$97)+SUMIF('상세 현황'!$A$5:$A$97,A7,'상세 현황'!$O$5:$O$97)</f>
        <v>0</v>
      </c>
      <c r="J7" s="17" t="str">
        <f>IF(I7=0,"일치","확인 필요")</f>
        <v>일치</v>
      </c>
    </row>
    <row r="8" spans="1:10" ht="15.6" customHeight="1">
      <c r="A8" s="12" t="s">
        <v>19</v>
      </c>
      <c r="B8" s="17" t="s">
        <v>18</v>
      </c>
      <c r="C8" s="12" t="s">
        <v>20</v>
      </c>
      <c r="D8" s="14">
        <v>9</v>
      </c>
      <c r="E8" s="14">
        <v>9</v>
      </c>
      <c r="F8" s="14">
        <f>SUMIF('상세 현황'!$A$5:$A$97,A8,'상세 현황'!$H$5:$H$97)</f>
        <v>29973</v>
      </c>
      <c r="G8" s="14">
        <f>SUMIF('상세 현황'!$A$5:$A$97,A8,'상세 현황'!$I$5:$I$97)</f>
        <v>29973</v>
      </c>
      <c r="H8" s="14">
        <f>SUMIF('상세 현황'!$A$5:$A$97,A8,'상세 현황'!$J$5:$J$97)</f>
        <v>29973</v>
      </c>
      <c r="I8" s="14">
        <f>SUMIF('상세 현황'!$A$5:$A$97,A8,'상세 현황'!$N$5:$N$97)+SUMIF('상세 현황'!$A$5:$A$97,A8,'상세 현황'!$O$5:$O$97)</f>
        <v>0</v>
      </c>
      <c r="J8" s="17" t="str">
        <f>IF(I8=0,"일치","확인 필요")</f>
        <v>일치</v>
      </c>
    </row>
    <row r="9" spans="1:10" ht="15.6" customHeight="1">
      <c r="A9" s="27" t="s">
        <v>21</v>
      </c>
      <c r="B9" s="28"/>
      <c r="C9" s="28"/>
      <c r="D9" s="28"/>
      <c r="E9" s="28"/>
      <c r="F9" s="15">
        <f>SUM(F5:F8)</f>
        <v>508487</v>
      </c>
      <c r="G9" s="15">
        <f>SUM(G5:G8)</f>
        <v>508487</v>
      </c>
      <c r="H9" s="15">
        <f>SUM(H5:H8)</f>
        <v>508487</v>
      </c>
      <c r="I9" s="15">
        <f>SUM(I5:I8)</f>
        <v>0</v>
      </c>
      <c r="J9" s="18" t="str">
        <f>IF(I9=0,"일치","확인 필요")</f>
        <v>일치</v>
      </c>
    </row>
    <row r="11" spans="1:10" ht="17.399999999999999" customHeight="1">
      <c r="A11" s="29" t="s">
        <v>22</v>
      </c>
      <c r="B11" s="23"/>
      <c r="C11" s="23"/>
      <c r="D11" s="23"/>
      <c r="E11" s="23"/>
      <c r="F11" s="23"/>
      <c r="G11" s="23"/>
      <c r="H11" s="23"/>
      <c r="I11" s="23"/>
      <c r="J11" s="23"/>
    </row>
    <row r="12" spans="1:10" ht="15.6" customHeight="1">
      <c r="A12" s="25" t="s">
        <v>23</v>
      </c>
      <c r="B12" s="23"/>
      <c r="C12" s="23"/>
      <c r="D12" s="23"/>
      <c r="E12" s="23"/>
      <c r="F12" s="23"/>
      <c r="G12" s="23"/>
      <c r="H12" s="23"/>
      <c r="I12" s="23"/>
      <c r="J12" s="23"/>
    </row>
    <row r="13" spans="1:10" ht="15.6" customHeight="1">
      <c r="A13" s="25" t="s">
        <v>24</v>
      </c>
      <c r="B13" s="23"/>
      <c r="C13" s="23"/>
      <c r="D13" s="23"/>
      <c r="E13" s="23"/>
      <c r="F13" s="23"/>
      <c r="G13" s="23"/>
      <c r="H13" s="23"/>
      <c r="I13" s="23"/>
      <c r="J13" s="23"/>
    </row>
    <row r="15" spans="1:10" ht="17.399999999999999" customHeight="1">
      <c r="A15" s="24" t="s">
        <v>25</v>
      </c>
      <c r="B15" s="23"/>
      <c r="C15" s="23"/>
      <c r="D15" s="23"/>
      <c r="E15" s="23"/>
      <c r="F15" s="23"/>
      <c r="G15" s="23"/>
      <c r="H15" s="23"/>
    </row>
    <row r="16" spans="1:10" ht="28.05" customHeight="1">
      <c r="A16" s="1" t="s">
        <v>2</v>
      </c>
      <c r="B16" s="1" t="s">
        <v>3</v>
      </c>
      <c r="C16" s="1" t="s">
        <v>26</v>
      </c>
      <c r="D16" s="1" t="s">
        <v>27</v>
      </c>
      <c r="E16" s="1" t="s">
        <v>28</v>
      </c>
      <c r="F16" s="1" t="s">
        <v>29</v>
      </c>
      <c r="G16" s="1" t="s">
        <v>30</v>
      </c>
      <c r="H16" s="1" t="s">
        <v>31</v>
      </c>
    </row>
    <row r="17" spans="1:8" ht="19.95" customHeight="1">
      <c r="A17" s="2" t="s">
        <v>32</v>
      </c>
      <c r="B17" s="2"/>
      <c r="C17" s="2"/>
      <c r="D17" s="2"/>
      <c r="E17" s="2"/>
      <c r="F17" s="5"/>
      <c r="G17" s="5"/>
      <c r="H17" s="2"/>
    </row>
    <row r="18" spans="1:8" ht="19.95" customHeight="1">
      <c r="A18" s="3"/>
      <c r="B18" s="3"/>
      <c r="C18" s="3"/>
      <c r="D18" s="3"/>
      <c r="E18" s="3"/>
      <c r="F18" s="6"/>
      <c r="G18" s="6"/>
      <c r="H18" s="3"/>
    </row>
    <row r="19" spans="1:8" ht="19.95" customHeight="1">
      <c r="A19" s="3"/>
      <c r="B19" s="3"/>
      <c r="C19" s="3"/>
      <c r="D19" s="3"/>
      <c r="E19" s="3"/>
      <c r="F19" s="6"/>
      <c r="G19" s="6"/>
      <c r="H19" s="3"/>
    </row>
    <row r="20" spans="1:8" ht="19.95" customHeight="1">
      <c r="A20" s="3"/>
      <c r="B20" s="3"/>
      <c r="C20" s="3"/>
      <c r="D20" s="3"/>
      <c r="E20" s="3"/>
      <c r="F20" s="6"/>
      <c r="G20" s="6"/>
      <c r="H20" s="3"/>
    </row>
    <row r="21" spans="1:8" ht="19.95" customHeight="1">
      <c r="A21" s="3"/>
      <c r="B21" s="3"/>
      <c r="C21" s="3"/>
      <c r="D21" s="3"/>
      <c r="E21" s="3"/>
      <c r="F21" s="6"/>
      <c r="G21" s="6"/>
      <c r="H21" s="3"/>
    </row>
    <row r="22" spans="1:8" ht="19.95" customHeight="1">
      <c r="A22" s="3"/>
      <c r="B22" s="3"/>
      <c r="C22" s="3"/>
      <c r="D22" s="3"/>
      <c r="E22" s="3"/>
      <c r="F22" s="6"/>
      <c r="G22" s="6"/>
      <c r="H22" s="3"/>
    </row>
    <row r="23" spans="1:8" ht="19.95" customHeight="1">
      <c r="A23" s="3"/>
      <c r="B23" s="3"/>
      <c r="C23" s="3"/>
      <c r="D23" s="3"/>
      <c r="E23" s="3"/>
      <c r="F23" s="6"/>
      <c r="G23" s="6"/>
      <c r="H23" s="3"/>
    </row>
    <row r="24" spans="1:8" ht="19.95" customHeight="1">
      <c r="A24" s="4"/>
      <c r="B24" s="4"/>
      <c r="C24" s="4"/>
      <c r="D24" s="4"/>
      <c r="E24" s="4"/>
      <c r="F24" s="7"/>
      <c r="G24" s="7"/>
      <c r="H24" s="4"/>
    </row>
  </sheetData>
  <mergeCells count="7">
    <mergeCell ref="A1:J1"/>
    <mergeCell ref="A15:H15"/>
    <mergeCell ref="A12:J12"/>
    <mergeCell ref="A2:J2"/>
    <mergeCell ref="A9:E9"/>
    <mergeCell ref="A13:J13"/>
    <mergeCell ref="A11:J11"/>
  </mergeCells>
  <phoneticPr fontId="8" type="noConversion"/>
  <conditionalFormatting sqref="A17:H24">
    <cfRule type="expression" dxfId="8" priority="3">
      <formula>$F17+$G17&gt;0</formula>
    </cfRule>
  </conditionalFormatting>
  <conditionalFormatting sqref="J5:J9">
    <cfRule type="containsText" dxfId="7" priority="1" operator="containsText" text="확인 필요"/>
    <cfRule type="containsText" dxfId="6" priority="2" operator="containsText" text="일치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9"/>
  <sheetViews>
    <sheetView showGridLines="0" workbookViewId="0">
      <selection sqref="A1:J1"/>
    </sheetView>
  </sheetViews>
  <sheetFormatPr defaultRowHeight="13.8"/>
  <cols>
    <col min="1" max="2" width="8.69921875" customWidth="1"/>
    <col min="3" max="3" width="19.3984375" customWidth="1"/>
    <col min="4" max="5" width="12.5" customWidth="1"/>
    <col min="6" max="6" width="13.09765625" customWidth="1"/>
    <col min="7" max="8" width="11.19921875" customWidth="1"/>
    <col min="9" max="9" width="12.5" customWidth="1"/>
    <col min="10" max="10" width="11.8984375" customWidth="1"/>
  </cols>
  <sheetData>
    <row r="1" spans="1:10" ht="30" customHeight="1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.6" customHeight="1">
      <c r="A2" s="26" t="s">
        <v>34</v>
      </c>
      <c r="B2" s="23"/>
      <c r="C2" s="23"/>
      <c r="D2" s="23"/>
      <c r="E2" s="23"/>
      <c r="F2" s="23"/>
      <c r="G2" s="23"/>
      <c r="H2" s="23"/>
      <c r="I2" s="23"/>
      <c r="J2" s="23"/>
    </row>
    <row r="4" spans="1:10" ht="28.05" customHeight="1">
      <c r="A4" s="1" t="s">
        <v>3</v>
      </c>
      <c r="B4" s="1" t="s">
        <v>27</v>
      </c>
      <c r="C4" s="1" t="s">
        <v>28</v>
      </c>
      <c r="D4" s="1" t="s">
        <v>7</v>
      </c>
      <c r="E4" s="1" t="s">
        <v>8</v>
      </c>
      <c r="F4" s="1" t="s">
        <v>9</v>
      </c>
      <c r="G4" s="1" t="s">
        <v>35</v>
      </c>
      <c r="H4" s="1" t="s">
        <v>36</v>
      </c>
      <c r="I4" s="1" t="s">
        <v>37</v>
      </c>
      <c r="J4" s="1" t="s">
        <v>11</v>
      </c>
    </row>
    <row r="5" spans="1:10" ht="15.6" customHeight="1">
      <c r="A5" s="8" t="s">
        <v>13</v>
      </c>
      <c r="B5" s="8" t="s">
        <v>38</v>
      </c>
      <c r="C5" s="8" t="s">
        <v>39</v>
      </c>
      <c r="D5" s="5">
        <f>SUMIFS('상세 현황'!$H$5:$H$97,'상세 현황'!$B$5:$B$97,A5,'상세 현황'!$E$5:$E$97,B5)</f>
        <v>420</v>
      </c>
      <c r="E5" s="5">
        <f>SUMIFS('상세 현황'!$I$5:$I$97,'상세 현황'!$B$5:$B$97,A5,'상세 현황'!$E$5:$E$97,B5)</f>
        <v>420</v>
      </c>
      <c r="F5" s="5">
        <f>SUMIFS('상세 현황'!$J$5:$J$97,'상세 현황'!$B$5:$B$97,A5,'상세 현황'!$E$5:$E$97,B5)</f>
        <v>420</v>
      </c>
      <c r="G5" s="5">
        <f>SUMIFS('상세 현황'!$N$5:$N$97,'상세 현황'!$B$5:$B$97,A5,'상세 현황'!$E$5:$E$97,B5)</f>
        <v>0</v>
      </c>
      <c r="H5" s="5">
        <f>SUMIFS('상세 현황'!$O$5:$O$97,'상세 현황'!$B$5:$B$97,A5,'상세 현황'!$E$5:$E$97,B5)</f>
        <v>0</v>
      </c>
      <c r="I5" s="5">
        <v>1</v>
      </c>
      <c r="J5" s="8" t="str">
        <f t="shared" ref="J5:J36" si="0">IF(G5+H5=0,"일치","확인 필요")</f>
        <v>일치</v>
      </c>
    </row>
    <row r="6" spans="1:10" ht="15.6" customHeight="1">
      <c r="A6" s="9" t="s">
        <v>13</v>
      </c>
      <c r="B6" s="9" t="s">
        <v>40</v>
      </c>
      <c r="C6" s="9" t="s">
        <v>41</v>
      </c>
      <c r="D6" s="6">
        <f>SUMIFS('상세 현황'!$H$5:$H$97,'상세 현황'!$B$5:$B$97,A6,'상세 현황'!$E$5:$E$97,B6)</f>
        <v>38115</v>
      </c>
      <c r="E6" s="6">
        <f>SUMIFS('상세 현황'!$I$5:$I$97,'상세 현황'!$B$5:$B$97,A6,'상세 현황'!$E$5:$E$97,B6)</f>
        <v>38115</v>
      </c>
      <c r="F6" s="6">
        <f>SUMIFS('상세 현황'!$J$5:$J$97,'상세 현황'!$B$5:$B$97,A6,'상세 현황'!$E$5:$E$97,B6)</f>
        <v>38115</v>
      </c>
      <c r="G6" s="6">
        <f>SUMIFS('상세 현황'!$N$5:$N$97,'상세 현황'!$B$5:$B$97,A6,'상세 현황'!$E$5:$E$97,B6)</f>
        <v>0</v>
      </c>
      <c r="H6" s="6">
        <f>SUMIFS('상세 현황'!$O$5:$O$97,'상세 현황'!$B$5:$B$97,A6,'상세 현황'!$E$5:$E$97,B6)</f>
        <v>0</v>
      </c>
      <c r="I6" s="6">
        <v>2</v>
      </c>
      <c r="J6" s="9" t="str">
        <f t="shared" si="0"/>
        <v>일치</v>
      </c>
    </row>
    <row r="7" spans="1:10" ht="15.6" customHeight="1">
      <c r="A7" s="9" t="s">
        <v>13</v>
      </c>
      <c r="B7" s="9" t="s">
        <v>42</v>
      </c>
      <c r="C7" s="9" t="s">
        <v>43</v>
      </c>
      <c r="D7" s="6">
        <f>SUMIFS('상세 현황'!$H$5:$H$97,'상세 현황'!$B$5:$B$97,A7,'상세 현황'!$E$5:$E$97,B7)</f>
        <v>19994</v>
      </c>
      <c r="E7" s="6">
        <f>SUMIFS('상세 현황'!$I$5:$I$97,'상세 현황'!$B$5:$B$97,A7,'상세 현황'!$E$5:$E$97,B7)</f>
        <v>19994</v>
      </c>
      <c r="F7" s="6">
        <f>SUMIFS('상세 현황'!$J$5:$J$97,'상세 현황'!$B$5:$B$97,A7,'상세 현황'!$E$5:$E$97,B7)</f>
        <v>19994</v>
      </c>
      <c r="G7" s="6">
        <f>SUMIFS('상세 현황'!$N$5:$N$97,'상세 현황'!$B$5:$B$97,A7,'상세 현황'!$E$5:$E$97,B7)</f>
        <v>0</v>
      </c>
      <c r="H7" s="6">
        <f>SUMIFS('상세 현황'!$O$5:$O$97,'상세 현황'!$B$5:$B$97,A7,'상세 현황'!$E$5:$E$97,B7)</f>
        <v>0</v>
      </c>
      <c r="I7" s="6">
        <v>2</v>
      </c>
      <c r="J7" s="9" t="str">
        <f t="shared" si="0"/>
        <v>일치</v>
      </c>
    </row>
    <row r="8" spans="1:10" ht="15.6" customHeight="1">
      <c r="A8" s="9" t="s">
        <v>13</v>
      </c>
      <c r="B8" s="9" t="s">
        <v>44</v>
      </c>
      <c r="C8" s="9" t="s">
        <v>45</v>
      </c>
      <c r="D8" s="6">
        <f>SUMIFS('상세 현황'!$H$5:$H$97,'상세 현황'!$B$5:$B$97,A8,'상세 현황'!$E$5:$E$97,B8)</f>
        <v>19859</v>
      </c>
      <c r="E8" s="6">
        <f>SUMIFS('상세 현황'!$I$5:$I$97,'상세 현황'!$B$5:$B$97,A8,'상세 현황'!$E$5:$E$97,B8)</f>
        <v>19859</v>
      </c>
      <c r="F8" s="6">
        <f>SUMIFS('상세 현황'!$J$5:$J$97,'상세 현황'!$B$5:$B$97,A8,'상세 현황'!$E$5:$E$97,B8)</f>
        <v>19859</v>
      </c>
      <c r="G8" s="6">
        <f>SUMIFS('상세 현황'!$N$5:$N$97,'상세 현황'!$B$5:$B$97,A8,'상세 현황'!$E$5:$E$97,B8)</f>
        <v>0</v>
      </c>
      <c r="H8" s="6">
        <f>SUMIFS('상세 현황'!$O$5:$O$97,'상세 현황'!$B$5:$B$97,A8,'상세 현황'!$E$5:$E$97,B8)</f>
        <v>0</v>
      </c>
      <c r="I8" s="6">
        <v>2</v>
      </c>
      <c r="J8" s="9" t="str">
        <f t="shared" si="0"/>
        <v>일치</v>
      </c>
    </row>
    <row r="9" spans="1:10" ht="15.6" customHeight="1">
      <c r="A9" s="9" t="s">
        <v>13</v>
      </c>
      <c r="B9" s="9" t="s">
        <v>46</v>
      </c>
      <c r="C9" s="9" t="s">
        <v>47</v>
      </c>
      <c r="D9" s="6">
        <f>SUMIFS('상세 현황'!$H$5:$H$97,'상세 현황'!$B$5:$B$97,A9,'상세 현황'!$E$5:$E$97,B9)</f>
        <v>771</v>
      </c>
      <c r="E9" s="6">
        <f>SUMIFS('상세 현황'!$I$5:$I$97,'상세 현황'!$B$5:$B$97,A9,'상세 현황'!$E$5:$E$97,B9)</f>
        <v>771</v>
      </c>
      <c r="F9" s="6">
        <f>SUMIFS('상세 현황'!$J$5:$J$97,'상세 현황'!$B$5:$B$97,A9,'상세 현황'!$E$5:$E$97,B9)</f>
        <v>771</v>
      </c>
      <c r="G9" s="6">
        <f>SUMIFS('상세 현황'!$N$5:$N$97,'상세 현황'!$B$5:$B$97,A9,'상세 현황'!$E$5:$E$97,B9)</f>
        <v>0</v>
      </c>
      <c r="H9" s="6">
        <f>SUMIFS('상세 현황'!$O$5:$O$97,'상세 현황'!$B$5:$B$97,A9,'상세 현황'!$E$5:$E$97,B9)</f>
        <v>0</v>
      </c>
      <c r="I9" s="6">
        <v>1</v>
      </c>
      <c r="J9" s="9" t="str">
        <f t="shared" si="0"/>
        <v>일치</v>
      </c>
    </row>
    <row r="10" spans="1:10" ht="15.6" customHeight="1">
      <c r="A10" s="9" t="s">
        <v>13</v>
      </c>
      <c r="B10" s="9" t="s">
        <v>48</v>
      </c>
      <c r="C10" s="9" t="s">
        <v>49</v>
      </c>
      <c r="D10" s="6">
        <f>SUMIFS('상세 현황'!$H$5:$H$97,'상세 현황'!$B$5:$B$97,A10,'상세 현황'!$E$5:$E$97,B10)</f>
        <v>14</v>
      </c>
      <c r="E10" s="6">
        <f>SUMIFS('상세 현황'!$I$5:$I$97,'상세 현황'!$B$5:$B$97,A10,'상세 현황'!$E$5:$E$97,B10)</f>
        <v>14</v>
      </c>
      <c r="F10" s="6">
        <f>SUMIFS('상세 현황'!$J$5:$J$97,'상세 현황'!$B$5:$B$97,A10,'상세 현황'!$E$5:$E$97,B10)</f>
        <v>14</v>
      </c>
      <c r="G10" s="6">
        <f>SUMIFS('상세 현황'!$N$5:$N$97,'상세 현황'!$B$5:$B$97,A10,'상세 현황'!$E$5:$E$97,B10)</f>
        <v>0</v>
      </c>
      <c r="H10" s="6">
        <f>SUMIFS('상세 현황'!$O$5:$O$97,'상세 현황'!$B$5:$B$97,A10,'상세 현황'!$E$5:$E$97,B10)</f>
        <v>0</v>
      </c>
      <c r="I10" s="6">
        <v>1</v>
      </c>
      <c r="J10" s="9" t="str">
        <f t="shared" si="0"/>
        <v>일치</v>
      </c>
    </row>
    <row r="11" spans="1:10" ht="15.6" customHeight="1">
      <c r="A11" s="9" t="s">
        <v>13</v>
      </c>
      <c r="B11" s="9" t="s">
        <v>50</v>
      </c>
      <c r="C11" s="9" t="s">
        <v>51</v>
      </c>
      <c r="D11" s="6">
        <f>SUMIFS('상세 현황'!$H$5:$H$97,'상세 현황'!$B$5:$B$97,A11,'상세 현황'!$E$5:$E$97,B11)</f>
        <v>34</v>
      </c>
      <c r="E11" s="6">
        <f>SUMIFS('상세 현황'!$I$5:$I$97,'상세 현황'!$B$5:$B$97,A11,'상세 현황'!$E$5:$E$97,B11)</f>
        <v>34</v>
      </c>
      <c r="F11" s="6">
        <f>SUMIFS('상세 현황'!$J$5:$J$97,'상세 현황'!$B$5:$B$97,A11,'상세 현황'!$E$5:$E$97,B11)</f>
        <v>34</v>
      </c>
      <c r="G11" s="6">
        <f>SUMIFS('상세 현황'!$N$5:$N$97,'상세 현황'!$B$5:$B$97,A11,'상세 현황'!$E$5:$E$97,B11)</f>
        <v>0</v>
      </c>
      <c r="H11" s="6">
        <f>SUMIFS('상세 현황'!$O$5:$O$97,'상세 현황'!$B$5:$B$97,A11,'상세 현황'!$E$5:$E$97,B11)</f>
        <v>0</v>
      </c>
      <c r="I11" s="6">
        <v>1</v>
      </c>
      <c r="J11" s="9" t="str">
        <f t="shared" si="0"/>
        <v>일치</v>
      </c>
    </row>
    <row r="12" spans="1:10" ht="15.6" customHeight="1">
      <c r="A12" s="9" t="s">
        <v>13</v>
      </c>
      <c r="B12" s="9" t="s">
        <v>52</v>
      </c>
      <c r="C12" s="9" t="s">
        <v>53</v>
      </c>
      <c r="D12" s="6">
        <f>SUMIFS('상세 현황'!$H$5:$H$97,'상세 현황'!$B$5:$B$97,A12,'상세 현황'!$E$5:$E$97,B12)</f>
        <v>285</v>
      </c>
      <c r="E12" s="6">
        <f>SUMIFS('상세 현황'!$I$5:$I$97,'상세 현황'!$B$5:$B$97,A12,'상세 현황'!$E$5:$E$97,B12)</f>
        <v>285</v>
      </c>
      <c r="F12" s="6">
        <f>SUMIFS('상세 현황'!$J$5:$J$97,'상세 현황'!$B$5:$B$97,A12,'상세 현황'!$E$5:$E$97,B12)</f>
        <v>285</v>
      </c>
      <c r="G12" s="6">
        <f>SUMIFS('상세 현황'!$N$5:$N$97,'상세 현황'!$B$5:$B$97,A12,'상세 현황'!$E$5:$E$97,B12)</f>
        <v>0</v>
      </c>
      <c r="H12" s="6">
        <f>SUMIFS('상세 현황'!$O$5:$O$97,'상세 현황'!$B$5:$B$97,A12,'상세 현황'!$E$5:$E$97,B12)</f>
        <v>0</v>
      </c>
      <c r="I12" s="6">
        <v>1</v>
      </c>
      <c r="J12" s="9" t="str">
        <f t="shared" si="0"/>
        <v>일치</v>
      </c>
    </row>
    <row r="13" spans="1:10" ht="15.6" customHeight="1">
      <c r="A13" s="9" t="s">
        <v>13</v>
      </c>
      <c r="B13" s="9" t="s">
        <v>54</v>
      </c>
      <c r="C13" s="9" t="s">
        <v>55</v>
      </c>
      <c r="D13" s="6">
        <f>SUMIFS('상세 현황'!$H$5:$H$97,'상세 현황'!$B$5:$B$97,A13,'상세 현황'!$E$5:$E$97,B13)</f>
        <v>303</v>
      </c>
      <c r="E13" s="6">
        <f>SUMIFS('상세 현황'!$I$5:$I$97,'상세 현황'!$B$5:$B$97,A13,'상세 현황'!$E$5:$E$97,B13)</f>
        <v>303</v>
      </c>
      <c r="F13" s="6">
        <f>SUMIFS('상세 현황'!$J$5:$J$97,'상세 현황'!$B$5:$B$97,A13,'상세 현황'!$E$5:$E$97,B13)</f>
        <v>303</v>
      </c>
      <c r="G13" s="6">
        <f>SUMIFS('상세 현황'!$N$5:$N$97,'상세 현황'!$B$5:$B$97,A13,'상세 현황'!$E$5:$E$97,B13)</f>
        <v>0</v>
      </c>
      <c r="H13" s="6">
        <f>SUMIFS('상세 현황'!$O$5:$O$97,'상세 현황'!$B$5:$B$97,A13,'상세 현황'!$E$5:$E$97,B13)</f>
        <v>0</v>
      </c>
      <c r="I13" s="6">
        <v>1</v>
      </c>
      <c r="J13" s="9" t="str">
        <f t="shared" si="0"/>
        <v>일치</v>
      </c>
    </row>
    <row r="14" spans="1:10" ht="15.6" customHeight="1">
      <c r="A14" s="9" t="s">
        <v>13</v>
      </c>
      <c r="B14" s="9" t="s">
        <v>56</v>
      </c>
      <c r="C14" s="9" t="s">
        <v>57</v>
      </c>
      <c r="D14" s="6">
        <f>SUMIFS('상세 현황'!$H$5:$H$97,'상세 현황'!$B$5:$B$97,A14,'상세 현황'!$E$5:$E$97,B14)</f>
        <v>29992</v>
      </c>
      <c r="E14" s="6">
        <f>SUMIFS('상세 현황'!$I$5:$I$97,'상세 현황'!$B$5:$B$97,A14,'상세 현황'!$E$5:$E$97,B14)</f>
        <v>29992</v>
      </c>
      <c r="F14" s="6">
        <f>SUMIFS('상세 현황'!$J$5:$J$97,'상세 현황'!$B$5:$B$97,A14,'상세 현황'!$E$5:$E$97,B14)</f>
        <v>29992</v>
      </c>
      <c r="G14" s="6">
        <f>SUMIFS('상세 현황'!$N$5:$N$97,'상세 현황'!$B$5:$B$97,A14,'상세 현황'!$E$5:$E$97,B14)</f>
        <v>0</v>
      </c>
      <c r="H14" s="6">
        <f>SUMIFS('상세 현황'!$O$5:$O$97,'상세 현황'!$B$5:$B$97,A14,'상세 현황'!$E$5:$E$97,B14)</f>
        <v>0</v>
      </c>
      <c r="I14" s="6">
        <v>2</v>
      </c>
      <c r="J14" s="9" t="str">
        <f t="shared" si="0"/>
        <v>일치</v>
      </c>
    </row>
    <row r="15" spans="1:10" ht="15.6" customHeight="1">
      <c r="A15" s="9" t="s">
        <v>13</v>
      </c>
      <c r="B15" s="9" t="s">
        <v>58</v>
      </c>
      <c r="C15" s="9" t="s">
        <v>59</v>
      </c>
      <c r="D15" s="6">
        <f>SUMIFS('상세 현황'!$H$5:$H$97,'상세 현황'!$B$5:$B$97,A15,'상세 현황'!$E$5:$E$97,B15)</f>
        <v>36000</v>
      </c>
      <c r="E15" s="6">
        <f>SUMIFS('상세 현황'!$I$5:$I$97,'상세 현황'!$B$5:$B$97,A15,'상세 현황'!$E$5:$E$97,B15)</f>
        <v>36000</v>
      </c>
      <c r="F15" s="6">
        <f>SUMIFS('상세 현황'!$J$5:$J$97,'상세 현황'!$B$5:$B$97,A15,'상세 현황'!$E$5:$E$97,B15)</f>
        <v>36000</v>
      </c>
      <c r="G15" s="6">
        <f>SUMIFS('상세 현황'!$N$5:$N$97,'상세 현황'!$B$5:$B$97,A15,'상세 현황'!$E$5:$E$97,B15)</f>
        <v>0</v>
      </c>
      <c r="H15" s="6">
        <f>SUMIFS('상세 현황'!$O$5:$O$97,'상세 현황'!$B$5:$B$97,A15,'상세 현황'!$E$5:$E$97,B15)</f>
        <v>0</v>
      </c>
      <c r="I15" s="6">
        <v>1</v>
      </c>
      <c r="J15" s="9" t="str">
        <f t="shared" si="0"/>
        <v>일치</v>
      </c>
    </row>
    <row r="16" spans="1:10" ht="15.6" customHeight="1">
      <c r="A16" s="9" t="s">
        <v>13</v>
      </c>
      <c r="B16" s="9" t="s">
        <v>60</v>
      </c>
      <c r="C16" s="9" t="s">
        <v>61</v>
      </c>
      <c r="D16" s="6">
        <f>SUMIFS('상세 현황'!$H$5:$H$97,'상세 현황'!$B$5:$B$97,A16,'상세 현황'!$E$5:$E$97,B16)</f>
        <v>1107</v>
      </c>
      <c r="E16" s="6">
        <f>SUMIFS('상세 현황'!$I$5:$I$97,'상세 현황'!$B$5:$B$97,A16,'상세 현황'!$E$5:$E$97,B16)</f>
        <v>1107</v>
      </c>
      <c r="F16" s="6">
        <f>SUMIFS('상세 현황'!$J$5:$J$97,'상세 현황'!$B$5:$B$97,A16,'상세 현황'!$E$5:$E$97,B16)</f>
        <v>1107</v>
      </c>
      <c r="G16" s="6">
        <f>SUMIFS('상세 현황'!$N$5:$N$97,'상세 현황'!$B$5:$B$97,A16,'상세 현황'!$E$5:$E$97,B16)</f>
        <v>0</v>
      </c>
      <c r="H16" s="6">
        <f>SUMIFS('상세 현황'!$O$5:$O$97,'상세 현황'!$B$5:$B$97,A16,'상세 현황'!$E$5:$E$97,B16)</f>
        <v>0</v>
      </c>
      <c r="I16" s="6">
        <v>1</v>
      </c>
      <c r="J16" s="9" t="str">
        <f t="shared" si="0"/>
        <v>일치</v>
      </c>
    </row>
    <row r="17" spans="1:10" ht="15.6" customHeight="1">
      <c r="A17" s="9" t="s">
        <v>13</v>
      </c>
      <c r="B17" s="9" t="s">
        <v>62</v>
      </c>
      <c r="C17" s="9" t="s">
        <v>63</v>
      </c>
      <c r="D17" s="6">
        <f>SUMIFS('상세 현황'!$H$5:$H$97,'상세 현황'!$B$5:$B$97,A17,'상세 현황'!$E$5:$E$97,B17)</f>
        <v>139</v>
      </c>
      <c r="E17" s="6">
        <f>SUMIFS('상세 현황'!$I$5:$I$97,'상세 현황'!$B$5:$B$97,A17,'상세 현황'!$E$5:$E$97,B17)</f>
        <v>139</v>
      </c>
      <c r="F17" s="6">
        <f>SUMIFS('상세 현황'!$J$5:$J$97,'상세 현황'!$B$5:$B$97,A17,'상세 현황'!$E$5:$E$97,B17)</f>
        <v>139</v>
      </c>
      <c r="G17" s="6">
        <f>SUMIFS('상세 현황'!$N$5:$N$97,'상세 현황'!$B$5:$B$97,A17,'상세 현황'!$E$5:$E$97,B17)</f>
        <v>0</v>
      </c>
      <c r="H17" s="6">
        <f>SUMIFS('상세 현황'!$O$5:$O$97,'상세 현황'!$B$5:$B$97,A17,'상세 현황'!$E$5:$E$97,B17)</f>
        <v>0</v>
      </c>
      <c r="I17" s="6">
        <v>1</v>
      </c>
      <c r="J17" s="9" t="str">
        <f t="shared" si="0"/>
        <v>일치</v>
      </c>
    </row>
    <row r="18" spans="1:10" ht="15.6" customHeight="1">
      <c r="A18" s="9" t="s">
        <v>13</v>
      </c>
      <c r="B18" s="9" t="s">
        <v>64</v>
      </c>
      <c r="C18" s="9" t="s">
        <v>65</v>
      </c>
      <c r="D18" s="6">
        <f>SUMIFS('상세 현황'!$H$5:$H$97,'상세 현황'!$B$5:$B$97,A18,'상세 현황'!$E$5:$E$97,B18)</f>
        <v>90000</v>
      </c>
      <c r="E18" s="6">
        <f>SUMIFS('상세 현황'!$I$5:$I$97,'상세 현황'!$B$5:$B$97,A18,'상세 현황'!$E$5:$E$97,B18)</f>
        <v>90000</v>
      </c>
      <c r="F18" s="6">
        <f>SUMIFS('상세 현황'!$J$5:$J$97,'상세 현황'!$B$5:$B$97,A18,'상세 현황'!$E$5:$E$97,B18)</f>
        <v>90000</v>
      </c>
      <c r="G18" s="6">
        <f>SUMIFS('상세 현황'!$N$5:$N$97,'상세 현황'!$B$5:$B$97,A18,'상세 현황'!$E$5:$E$97,B18)</f>
        <v>0</v>
      </c>
      <c r="H18" s="6">
        <f>SUMIFS('상세 현황'!$O$5:$O$97,'상세 현황'!$B$5:$B$97,A18,'상세 현황'!$E$5:$E$97,B18)</f>
        <v>0</v>
      </c>
      <c r="I18" s="6">
        <v>1</v>
      </c>
      <c r="J18" s="9" t="str">
        <f t="shared" si="0"/>
        <v>일치</v>
      </c>
    </row>
    <row r="19" spans="1:10" ht="15.6" customHeight="1">
      <c r="A19" s="9" t="s">
        <v>13</v>
      </c>
      <c r="B19" s="9" t="s">
        <v>66</v>
      </c>
      <c r="C19" s="9" t="s">
        <v>67</v>
      </c>
      <c r="D19" s="6">
        <f>SUMIFS('상세 현황'!$H$5:$H$97,'상세 현황'!$B$5:$B$97,A19,'상세 현황'!$E$5:$E$97,B19)</f>
        <v>38235</v>
      </c>
      <c r="E19" s="6">
        <f>SUMIFS('상세 현황'!$I$5:$I$97,'상세 현황'!$B$5:$B$97,A19,'상세 현황'!$E$5:$E$97,B19)</f>
        <v>38235</v>
      </c>
      <c r="F19" s="6">
        <f>SUMIFS('상세 현황'!$J$5:$J$97,'상세 현황'!$B$5:$B$97,A19,'상세 현황'!$E$5:$E$97,B19)</f>
        <v>38235</v>
      </c>
      <c r="G19" s="6">
        <f>SUMIFS('상세 현황'!$N$5:$N$97,'상세 현황'!$B$5:$B$97,A19,'상세 현황'!$E$5:$E$97,B19)</f>
        <v>0</v>
      </c>
      <c r="H19" s="6">
        <f>SUMIFS('상세 현황'!$O$5:$O$97,'상세 현황'!$B$5:$B$97,A19,'상세 현황'!$E$5:$E$97,B19)</f>
        <v>0</v>
      </c>
      <c r="I19" s="6">
        <v>2</v>
      </c>
      <c r="J19" s="9" t="str">
        <f t="shared" si="0"/>
        <v>일치</v>
      </c>
    </row>
    <row r="20" spans="1:10" ht="15.6" customHeight="1">
      <c r="A20" s="9" t="s">
        <v>13</v>
      </c>
      <c r="B20" s="9" t="s">
        <v>68</v>
      </c>
      <c r="C20" s="9" t="s">
        <v>69</v>
      </c>
      <c r="D20" s="6">
        <f>SUMIFS('상세 현황'!$H$5:$H$97,'상세 현황'!$B$5:$B$97,A20,'상세 현황'!$E$5:$E$97,B20)</f>
        <v>42045</v>
      </c>
      <c r="E20" s="6">
        <f>SUMIFS('상세 현황'!$I$5:$I$97,'상세 현황'!$B$5:$B$97,A20,'상세 현황'!$E$5:$E$97,B20)</f>
        <v>42045</v>
      </c>
      <c r="F20" s="6">
        <f>SUMIFS('상세 현황'!$J$5:$J$97,'상세 현황'!$B$5:$B$97,A20,'상세 현황'!$E$5:$E$97,B20)</f>
        <v>42045</v>
      </c>
      <c r="G20" s="6">
        <f>SUMIFS('상세 현황'!$N$5:$N$97,'상세 현황'!$B$5:$B$97,A20,'상세 현황'!$E$5:$E$97,B20)</f>
        <v>0</v>
      </c>
      <c r="H20" s="6">
        <f>SUMIFS('상세 현황'!$O$5:$O$97,'상세 현황'!$B$5:$B$97,A20,'상세 현황'!$E$5:$E$97,B20)</f>
        <v>0</v>
      </c>
      <c r="I20" s="6">
        <v>2</v>
      </c>
      <c r="J20" s="9" t="str">
        <f t="shared" si="0"/>
        <v>일치</v>
      </c>
    </row>
    <row r="21" spans="1:10" ht="15.6" customHeight="1">
      <c r="A21" s="9" t="s">
        <v>13</v>
      </c>
      <c r="B21" s="9" t="s">
        <v>70</v>
      </c>
      <c r="C21" s="9" t="s">
        <v>71</v>
      </c>
      <c r="D21" s="6">
        <f>SUMIFS('상세 현황'!$H$5:$H$97,'상세 현황'!$B$5:$B$97,A21,'상세 현황'!$E$5:$E$97,B21)</f>
        <v>4124</v>
      </c>
      <c r="E21" s="6">
        <f>SUMIFS('상세 현황'!$I$5:$I$97,'상세 현황'!$B$5:$B$97,A21,'상세 현황'!$E$5:$E$97,B21)</f>
        <v>4124</v>
      </c>
      <c r="F21" s="6">
        <f>SUMIFS('상세 현황'!$J$5:$J$97,'상세 현황'!$B$5:$B$97,A21,'상세 현황'!$E$5:$E$97,B21)</f>
        <v>4124</v>
      </c>
      <c r="G21" s="6">
        <f>SUMIFS('상세 현황'!$N$5:$N$97,'상세 현황'!$B$5:$B$97,A21,'상세 현황'!$E$5:$E$97,B21)</f>
        <v>0</v>
      </c>
      <c r="H21" s="6">
        <f>SUMIFS('상세 현황'!$O$5:$O$97,'상세 현황'!$B$5:$B$97,A21,'상세 현황'!$E$5:$E$97,B21)</f>
        <v>0</v>
      </c>
      <c r="I21" s="6">
        <v>1</v>
      </c>
      <c r="J21" s="9" t="str">
        <f t="shared" si="0"/>
        <v>일치</v>
      </c>
    </row>
    <row r="22" spans="1:10" ht="15.6" customHeight="1">
      <c r="A22" s="9" t="s">
        <v>13</v>
      </c>
      <c r="B22" s="9" t="s">
        <v>72</v>
      </c>
      <c r="C22" s="9" t="s">
        <v>73</v>
      </c>
      <c r="D22" s="6">
        <f>SUMIFS('상세 현황'!$H$5:$H$97,'상세 현황'!$B$5:$B$97,A22,'상세 현황'!$E$5:$E$97,B22)</f>
        <v>426</v>
      </c>
      <c r="E22" s="6">
        <f>SUMIFS('상세 현황'!$I$5:$I$97,'상세 현황'!$B$5:$B$97,A22,'상세 현황'!$E$5:$E$97,B22)</f>
        <v>426</v>
      </c>
      <c r="F22" s="6">
        <f>SUMIFS('상세 현황'!$J$5:$J$97,'상세 현황'!$B$5:$B$97,A22,'상세 현황'!$E$5:$E$97,B22)</f>
        <v>426</v>
      </c>
      <c r="G22" s="6">
        <f>SUMIFS('상세 현황'!$N$5:$N$97,'상세 현황'!$B$5:$B$97,A22,'상세 현황'!$E$5:$E$97,B22)</f>
        <v>0</v>
      </c>
      <c r="H22" s="6">
        <f>SUMIFS('상세 현황'!$O$5:$O$97,'상세 현황'!$B$5:$B$97,A22,'상세 현황'!$E$5:$E$97,B22)</f>
        <v>0</v>
      </c>
      <c r="I22" s="6">
        <v>1</v>
      </c>
      <c r="J22" s="9" t="str">
        <f t="shared" si="0"/>
        <v>일치</v>
      </c>
    </row>
    <row r="23" spans="1:10" ht="15.6" customHeight="1">
      <c r="A23" s="9" t="s">
        <v>13</v>
      </c>
      <c r="B23" s="9" t="s">
        <v>74</v>
      </c>
      <c r="C23" s="9" t="s">
        <v>75</v>
      </c>
      <c r="D23" s="6">
        <f>SUMIFS('상세 현황'!$H$5:$H$97,'상세 현황'!$B$5:$B$97,A23,'상세 현황'!$E$5:$E$97,B23)</f>
        <v>41794</v>
      </c>
      <c r="E23" s="6">
        <f>SUMIFS('상세 현황'!$I$5:$I$97,'상세 현황'!$B$5:$B$97,A23,'상세 현황'!$E$5:$E$97,B23)</f>
        <v>41794</v>
      </c>
      <c r="F23" s="6">
        <f>SUMIFS('상세 현황'!$J$5:$J$97,'상세 현황'!$B$5:$B$97,A23,'상세 현황'!$E$5:$E$97,B23)</f>
        <v>41794</v>
      </c>
      <c r="G23" s="6">
        <f>SUMIFS('상세 현황'!$N$5:$N$97,'상세 현황'!$B$5:$B$97,A23,'상세 현황'!$E$5:$E$97,B23)</f>
        <v>0</v>
      </c>
      <c r="H23" s="6">
        <f>SUMIFS('상세 현황'!$O$5:$O$97,'상세 현황'!$B$5:$B$97,A23,'상세 현황'!$E$5:$E$97,B23)</f>
        <v>0</v>
      </c>
      <c r="I23" s="6">
        <v>2</v>
      </c>
      <c r="J23" s="9" t="str">
        <f t="shared" si="0"/>
        <v>일치</v>
      </c>
    </row>
    <row r="24" spans="1:10" ht="15.6" customHeight="1">
      <c r="A24" s="9" t="s">
        <v>13</v>
      </c>
      <c r="B24" s="9" t="s">
        <v>76</v>
      </c>
      <c r="C24" s="9" t="s">
        <v>77</v>
      </c>
      <c r="D24" s="6">
        <f>SUMIFS('상세 현황'!$H$5:$H$97,'상세 현황'!$B$5:$B$97,A24,'상세 현황'!$E$5:$E$97,B24)</f>
        <v>8796</v>
      </c>
      <c r="E24" s="6">
        <f>SUMIFS('상세 현황'!$I$5:$I$97,'상세 현황'!$B$5:$B$97,A24,'상세 현황'!$E$5:$E$97,B24)</f>
        <v>8796</v>
      </c>
      <c r="F24" s="6">
        <f>SUMIFS('상세 현황'!$J$5:$J$97,'상세 현황'!$B$5:$B$97,A24,'상세 현황'!$E$5:$E$97,B24)</f>
        <v>8796</v>
      </c>
      <c r="G24" s="6">
        <f>SUMIFS('상세 현황'!$N$5:$N$97,'상세 현황'!$B$5:$B$97,A24,'상세 현황'!$E$5:$E$97,B24)</f>
        <v>0</v>
      </c>
      <c r="H24" s="6">
        <f>SUMIFS('상세 현황'!$O$5:$O$97,'상세 현황'!$B$5:$B$97,A24,'상세 현황'!$E$5:$E$97,B24)</f>
        <v>0</v>
      </c>
      <c r="I24" s="6">
        <v>1</v>
      </c>
      <c r="J24" s="9" t="str">
        <f t="shared" si="0"/>
        <v>일치</v>
      </c>
    </row>
    <row r="25" spans="1:10" ht="15.6" customHeight="1">
      <c r="A25" s="9" t="s">
        <v>13</v>
      </c>
      <c r="B25" s="9" t="s">
        <v>78</v>
      </c>
      <c r="C25" s="9" t="s">
        <v>79</v>
      </c>
      <c r="D25" s="6">
        <f>SUMIFS('상세 현황'!$H$5:$H$97,'상세 현황'!$B$5:$B$97,A25,'상세 현황'!$E$5:$E$97,B25)</f>
        <v>4</v>
      </c>
      <c r="E25" s="6">
        <f>SUMIFS('상세 현황'!$I$5:$I$97,'상세 현황'!$B$5:$B$97,A25,'상세 현황'!$E$5:$E$97,B25)</f>
        <v>4</v>
      </c>
      <c r="F25" s="6">
        <f>SUMIFS('상세 현황'!$J$5:$J$97,'상세 현황'!$B$5:$B$97,A25,'상세 현황'!$E$5:$E$97,B25)</f>
        <v>4</v>
      </c>
      <c r="G25" s="6">
        <f>SUMIFS('상세 현황'!$N$5:$N$97,'상세 현황'!$B$5:$B$97,A25,'상세 현황'!$E$5:$E$97,B25)</f>
        <v>0</v>
      </c>
      <c r="H25" s="6">
        <f>SUMIFS('상세 현황'!$O$5:$O$97,'상세 현황'!$B$5:$B$97,A25,'상세 현황'!$E$5:$E$97,B25)</f>
        <v>0</v>
      </c>
      <c r="I25" s="6">
        <v>1</v>
      </c>
      <c r="J25" s="9" t="str">
        <f t="shared" si="0"/>
        <v>일치</v>
      </c>
    </row>
    <row r="26" spans="1:10" ht="15.6" customHeight="1">
      <c r="A26" s="9" t="s">
        <v>13</v>
      </c>
      <c r="B26" s="9" t="s">
        <v>80</v>
      </c>
      <c r="C26" s="9" t="s">
        <v>81</v>
      </c>
      <c r="D26" s="6">
        <f>SUMIFS('상세 현황'!$H$5:$H$97,'상세 현황'!$B$5:$B$97,A26,'상세 현황'!$E$5:$E$97,B26)</f>
        <v>9000</v>
      </c>
      <c r="E26" s="6">
        <f>SUMIFS('상세 현황'!$I$5:$I$97,'상세 현황'!$B$5:$B$97,A26,'상세 현황'!$E$5:$E$97,B26)</f>
        <v>9000</v>
      </c>
      <c r="F26" s="6">
        <f>SUMIFS('상세 현황'!$J$5:$J$97,'상세 현황'!$B$5:$B$97,A26,'상세 현황'!$E$5:$E$97,B26)</f>
        <v>9000</v>
      </c>
      <c r="G26" s="6">
        <f>SUMIFS('상세 현황'!$N$5:$N$97,'상세 현황'!$B$5:$B$97,A26,'상세 현황'!$E$5:$E$97,B26)</f>
        <v>0</v>
      </c>
      <c r="H26" s="6">
        <f>SUMIFS('상세 현황'!$O$5:$O$97,'상세 현황'!$B$5:$B$97,A26,'상세 현황'!$E$5:$E$97,B26)</f>
        <v>0</v>
      </c>
      <c r="I26" s="6">
        <v>1</v>
      </c>
      <c r="J26" s="9" t="str">
        <f t="shared" si="0"/>
        <v>일치</v>
      </c>
    </row>
    <row r="27" spans="1:10" ht="15.6" customHeight="1">
      <c r="A27" s="9" t="s">
        <v>13</v>
      </c>
      <c r="B27" s="9" t="s">
        <v>82</v>
      </c>
      <c r="C27" s="9" t="s">
        <v>83</v>
      </c>
      <c r="D27" s="6">
        <f>SUMIFS('상세 현황'!$H$5:$H$97,'상세 현황'!$B$5:$B$97,A27,'상세 현황'!$E$5:$E$97,B27)</f>
        <v>9000</v>
      </c>
      <c r="E27" s="6">
        <f>SUMIFS('상세 현황'!$I$5:$I$97,'상세 현황'!$B$5:$B$97,A27,'상세 현황'!$E$5:$E$97,B27)</f>
        <v>9000</v>
      </c>
      <c r="F27" s="6">
        <f>SUMIFS('상세 현황'!$J$5:$J$97,'상세 현황'!$B$5:$B$97,A27,'상세 현황'!$E$5:$E$97,B27)</f>
        <v>9000</v>
      </c>
      <c r="G27" s="6">
        <f>SUMIFS('상세 현황'!$N$5:$N$97,'상세 현황'!$B$5:$B$97,A27,'상세 현황'!$E$5:$E$97,B27)</f>
        <v>0</v>
      </c>
      <c r="H27" s="6">
        <f>SUMIFS('상세 현황'!$O$5:$O$97,'상세 현황'!$B$5:$B$97,A27,'상세 현황'!$E$5:$E$97,B27)</f>
        <v>0</v>
      </c>
      <c r="I27" s="6">
        <v>1</v>
      </c>
      <c r="J27" s="9" t="str">
        <f t="shared" si="0"/>
        <v>일치</v>
      </c>
    </row>
    <row r="28" spans="1:10" ht="15.6" customHeight="1">
      <c r="A28" s="9" t="s">
        <v>13</v>
      </c>
      <c r="B28" s="9" t="s">
        <v>84</v>
      </c>
      <c r="C28" s="9" t="s">
        <v>85</v>
      </c>
      <c r="D28" s="6">
        <f>SUMIFS('상세 현황'!$H$5:$H$97,'상세 현황'!$B$5:$B$97,A28,'상세 현황'!$E$5:$E$97,B28)</f>
        <v>9000</v>
      </c>
      <c r="E28" s="6">
        <f>SUMIFS('상세 현황'!$I$5:$I$97,'상세 현황'!$B$5:$B$97,A28,'상세 현황'!$E$5:$E$97,B28)</f>
        <v>9000</v>
      </c>
      <c r="F28" s="6">
        <f>SUMIFS('상세 현황'!$J$5:$J$97,'상세 현황'!$B$5:$B$97,A28,'상세 현황'!$E$5:$E$97,B28)</f>
        <v>9000</v>
      </c>
      <c r="G28" s="6">
        <f>SUMIFS('상세 현황'!$N$5:$N$97,'상세 현황'!$B$5:$B$97,A28,'상세 현황'!$E$5:$E$97,B28)</f>
        <v>0</v>
      </c>
      <c r="H28" s="6">
        <f>SUMIFS('상세 현황'!$O$5:$O$97,'상세 현황'!$B$5:$B$97,A28,'상세 현황'!$E$5:$E$97,B28)</f>
        <v>0</v>
      </c>
      <c r="I28" s="6">
        <v>1</v>
      </c>
      <c r="J28" s="9" t="str">
        <f t="shared" si="0"/>
        <v>일치</v>
      </c>
    </row>
    <row r="29" spans="1:10" ht="15.6" customHeight="1">
      <c r="A29" s="9" t="s">
        <v>13</v>
      </c>
      <c r="B29" s="9" t="s">
        <v>86</v>
      </c>
      <c r="C29" s="9" t="s">
        <v>87</v>
      </c>
      <c r="D29" s="6">
        <f>SUMIFS('상세 현황'!$H$5:$H$97,'상세 현황'!$B$5:$B$97,A29,'상세 현황'!$E$5:$E$97,B29)</f>
        <v>45000</v>
      </c>
      <c r="E29" s="6">
        <f>SUMIFS('상세 현황'!$I$5:$I$97,'상세 현황'!$B$5:$B$97,A29,'상세 현황'!$E$5:$E$97,B29)</f>
        <v>45000</v>
      </c>
      <c r="F29" s="6">
        <f>SUMIFS('상세 현황'!$J$5:$J$97,'상세 현황'!$B$5:$B$97,A29,'상세 현황'!$E$5:$E$97,B29)</f>
        <v>45000</v>
      </c>
      <c r="G29" s="6">
        <f>SUMIFS('상세 현황'!$N$5:$N$97,'상세 현황'!$B$5:$B$97,A29,'상세 현황'!$E$5:$E$97,B29)</f>
        <v>0</v>
      </c>
      <c r="H29" s="6">
        <f>SUMIFS('상세 현황'!$O$5:$O$97,'상세 현황'!$B$5:$B$97,A29,'상세 현황'!$E$5:$E$97,B29)</f>
        <v>0</v>
      </c>
      <c r="I29" s="6">
        <v>1</v>
      </c>
      <c r="J29" s="9" t="str">
        <f t="shared" si="0"/>
        <v>일치</v>
      </c>
    </row>
    <row r="30" spans="1:10" ht="15.6" customHeight="1">
      <c r="A30" s="9" t="s">
        <v>13</v>
      </c>
      <c r="B30" s="9" t="s">
        <v>88</v>
      </c>
      <c r="C30" s="9" t="s">
        <v>89</v>
      </c>
      <c r="D30" s="6">
        <f>SUMIFS('상세 현황'!$H$5:$H$97,'상세 현황'!$B$5:$B$97,A30,'상세 현황'!$E$5:$E$97,B30)</f>
        <v>830</v>
      </c>
      <c r="E30" s="6">
        <f>SUMIFS('상세 현황'!$I$5:$I$97,'상세 현황'!$B$5:$B$97,A30,'상세 현황'!$E$5:$E$97,B30)</f>
        <v>830</v>
      </c>
      <c r="F30" s="6">
        <f>SUMIFS('상세 현황'!$J$5:$J$97,'상세 현황'!$B$5:$B$97,A30,'상세 현황'!$E$5:$E$97,B30)</f>
        <v>830</v>
      </c>
      <c r="G30" s="6">
        <f>SUMIFS('상세 현황'!$N$5:$N$97,'상세 현황'!$B$5:$B$97,A30,'상세 현황'!$E$5:$E$97,B30)</f>
        <v>0</v>
      </c>
      <c r="H30" s="6">
        <f>SUMIFS('상세 현황'!$O$5:$O$97,'상세 현황'!$B$5:$B$97,A30,'상세 현황'!$E$5:$E$97,B30)</f>
        <v>0</v>
      </c>
      <c r="I30" s="6">
        <v>1</v>
      </c>
      <c r="J30" s="9" t="str">
        <f t="shared" si="0"/>
        <v>일치</v>
      </c>
    </row>
    <row r="31" spans="1:10" ht="15.6" customHeight="1">
      <c r="A31" s="9" t="s">
        <v>13</v>
      </c>
      <c r="B31" s="9" t="s">
        <v>90</v>
      </c>
      <c r="C31" s="9" t="s">
        <v>91</v>
      </c>
      <c r="D31" s="6">
        <f>SUMIFS('상세 현황'!$H$5:$H$97,'상세 현황'!$B$5:$B$97,A31,'상세 현황'!$E$5:$E$97,B31)</f>
        <v>550</v>
      </c>
      <c r="E31" s="6">
        <f>SUMIFS('상세 현황'!$I$5:$I$97,'상세 현황'!$B$5:$B$97,A31,'상세 현황'!$E$5:$E$97,B31)</f>
        <v>550</v>
      </c>
      <c r="F31" s="6">
        <f>SUMIFS('상세 현황'!$J$5:$J$97,'상세 현황'!$B$5:$B$97,A31,'상세 현황'!$E$5:$E$97,B31)</f>
        <v>550</v>
      </c>
      <c r="G31" s="6">
        <f>SUMIFS('상세 현황'!$N$5:$N$97,'상세 현황'!$B$5:$B$97,A31,'상세 현황'!$E$5:$E$97,B31)</f>
        <v>0</v>
      </c>
      <c r="H31" s="6">
        <f>SUMIFS('상세 현황'!$O$5:$O$97,'상세 현황'!$B$5:$B$97,A31,'상세 현황'!$E$5:$E$97,B31)</f>
        <v>0</v>
      </c>
      <c r="I31" s="6">
        <v>1</v>
      </c>
      <c r="J31" s="9" t="str">
        <f t="shared" si="0"/>
        <v>일치</v>
      </c>
    </row>
    <row r="32" spans="1:10" ht="15.6" customHeight="1">
      <c r="A32" s="9" t="s">
        <v>13</v>
      </c>
      <c r="B32" s="9" t="s">
        <v>92</v>
      </c>
      <c r="C32" s="9" t="s">
        <v>93</v>
      </c>
      <c r="D32" s="6">
        <f>SUMIFS('상세 현황'!$H$5:$H$97,'상세 현황'!$B$5:$B$97,A32,'상세 현황'!$E$5:$E$97,B32)</f>
        <v>20326</v>
      </c>
      <c r="E32" s="6">
        <f>SUMIFS('상세 현황'!$I$5:$I$97,'상세 현황'!$B$5:$B$97,A32,'상세 현황'!$E$5:$E$97,B32)</f>
        <v>20326</v>
      </c>
      <c r="F32" s="6">
        <f>SUMIFS('상세 현황'!$J$5:$J$97,'상세 현황'!$B$5:$B$97,A32,'상세 현황'!$E$5:$E$97,B32)</f>
        <v>20326</v>
      </c>
      <c r="G32" s="6">
        <f>SUMIFS('상세 현황'!$N$5:$N$97,'상세 현황'!$B$5:$B$97,A32,'상세 현황'!$E$5:$E$97,B32)</f>
        <v>0</v>
      </c>
      <c r="H32" s="6">
        <f>SUMIFS('상세 현황'!$O$5:$O$97,'상세 현황'!$B$5:$B$97,A32,'상세 현황'!$E$5:$E$97,B32)</f>
        <v>0</v>
      </c>
      <c r="I32" s="6">
        <v>2</v>
      </c>
      <c r="J32" s="9" t="str">
        <f t="shared" si="0"/>
        <v>일치</v>
      </c>
    </row>
    <row r="33" spans="1:10" ht="15.6" customHeight="1">
      <c r="A33" s="9" t="s">
        <v>13</v>
      </c>
      <c r="B33" s="9" t="s">
        <v>94</v>
      </c>
      <c r="C33" s="9" t="s">
        <v>95</v>
      </c>
      <c r="D33" s="6">
        <f>SUMIFS('상세 현황'!$H$5:$H$97,'상세 현황'!$B$5:$B$97,A33,'상세 현황'!$E$5:$E$97,B33)</f>
        <v>631</v>
      </c>
      <c r="E33" s="6">
        <f>SUMIFS('상세 현황'!$I$5:$I$97,'상세 현황'!$B$5:$B$97,A33,'상세 현황'!$E$5:$E$97,B33)</f>
        <v>631</v>
      </c>
      <c r="F33" s="6">
        <f>SUMIFS('상세 현황'!$J$5:$J$97,'상세 현황'!$B$5:$B$97,A33,'상세 현황'!$E$5:$E$97,B33)</f>
        <v>631</v>
      </c>
      <c r="G33" s="6">
        <f>SUMIFS('상세 현황'!$N$5:$N$97,'상세 현황'!$B$5:$B$97,A33,'상세 현황'!$E$5:$E$97,B33)</f>
        <v>0</v>
      </c>
      <c r="H33" s="6">
        <f>SUMIFS('상세 현황'!$O$5:$O$97,'상세 현황'!$B$5:$B$97,A33,'상세 현황'!$E$5:$E$97,B33)</f>
        <v>0</v>
      </c>
      <c r="I33" s="6">
        <v>1</v>
      </c>
      <c r="J33" s="9" t="str">
        <f t="shared" si="0"/>
        <v>일치</v>
      </c>
    </row>
    <row r="34" spans="1:10" ht="15.6" customHeight="1">
      <c r="A34" s="9" t="s">
        <v>13</v>
      </c>
      <c r="B34" s="9" t="s">
        <v>96</v>
      </c>
      <c r="C34" s="9" t="s">
        <v>97</v>
      </c>
      <c r="D34" s="6">
        <f>SUMIFS('상세 현황'!$H$5:$H$97,'상세 현황'!$B$5:$B$97,A34,'상세 현황'!$E$5:$E$97,B34)</f>
        <v>680</v>
      </c>
      <c r="E34" s="6">
        <f>SUMIFS('상세 현황'!$I$5:$I$97,'상세 현황'!$B$5:$B$97,A34,'상세 현황'!$E$5:$E$97,B34)</f>
        <v>680</v>
      </c>
      <c r="F34" s="6">
        <f>SUMIFS('상세 현황'!$J$5:$J$97,'상세 현황'!$B$5:$B$97,A34,'상세 현황'!$E$5:$E$97,B34)</f>
        <v>680</v>
      </c>
      <c r="G34" s="6">
        <f>SUMIFS('상세 현황'!$N$5:$N$97,'상세 현황'!$B$5:$B$97,A34,'상세 현황'!$E$5:$E$97,B34)</f>
        <v>0</v>
      </c>
      <c r="H34" s="6">
        <f>SUMIFS('상세 현황'!$O$5:$O$97,'상세 현황'!$B$5:$B$97,A34,'상세 현황'!$E$5:$E$97,B34)</f>
        <v>0</v>
      </c>
      <c r="I34" s="6">
        <v>1</v>
      </c>
      <c r="J34" s="9" t="str">
        <f t="shared" si="0"/>
        <v>일치</v>
      </c>
    </row>
    <row r="35" spans="1:10" ht="15.6" customHeight="1">
      <c r="A35" s="9" t="s">
        <v>18</v>
      </c>
      <c r="B35" s="9" t="s">
        <v>38</v>
      </c>
      <c r="C35" s="9" t="s">
        <v>39</v>
      </c>
      <c r="D35" s="6">
        <f>SUMIFS('상세 현황'!$H$5:$H$97,'상세 현황'!$B$5:$B$97,A35,'상세 현황'!$E$5:$E$97,B35)</f>
        <v>105</v>
      </c>
      <c r="E35" s="6">
        <f>SUMIFS('상세 현황'!$I$5:$I$97,'상세 현황'!$B$5:$B$97,A35,'상세 현황'!$E$5:$E$97,B35)</f>
        <v>105</v>
      </c>
      <c r="F35" s="6">
        <f>SUMIFS('상세 현황'!$J$5:$J$97,'상세 현황'!$B$5:$B$97,A35,'상세 현황'!$E$5:$E$97,B35)</f>
        <v>105</v>
      </c>
      <c r="G35" s="6">
        <f>SUMIFS('상세 현황'!$N$5:$N$97,'상세 현황'!$B$5:$B$97,A35,'상세 현황'!$E$5:$E$97,B35)</f>
        <v>0</v>
      </c>
      <c r="H35" s="6">
        <f>SUMIFS('상세 현황'!$O$5:$O$97,'상세 현황'!$B$5:$B$97,A35,'상세 현황'!$E$5:$E$97,B35)</f>
        <v>0</v>
      </c>
      <c r="I35" s="6">
        <v>1</v>
      </c>
      <c r="J35" s="9" t="str">
        <f t="shared" si="0"/>
        <v>일치</v>
      </c>
    </row>
    <row r="36" spans="1:10" ht="15.6" customHeight="1">
      <c r="A36" s="9" t="s">
        <v>18</v>
      </c>
      <c r="B36" s="9" t="s">
        <v>40</v>
      </c>
      <c r="C36" s="9" t="s">
        <v>41</v>
      </c>
      <c r="D36" s="6">
        <f>SUMIFS('상세 현황'!$H$5:$H$97,'상세 현황'!$B$5:$B$97,A36,'상세 현황'!$E$5:$E$97,B36)</f>
        <v>3828</v>
      </c>
      <c r="E36" s="6">
        <f>SUMIFS('상세 현황'!$I$5:$I$97,'상세 현황'!$B$5:$B$97,A36,'상세 현황'!$E$5:$E$97,B36)</f>
        <v>3828</v>
      </c>
      <c r="F36" s="6">
        <f>SUMIFS('상세 현황'!$J$5:$J$97,'상세 현황'!$B$5:$B$97,A36,'상세 현황'!$E$5:$E$97,B36)</f>
        <v>3828</v>
      </c>
      <c r="G36" s="6">
        <f>SUMIFS('상세 현황'!$N$5:$N$97,'상세 현황'!$B$5:$B$97,A36,'상세 현황'!$E$5:$E$97,B36)</f>
        <v>0</v>
      </c>
      <c r="H36" s="6">
        <f>SUMIFS('상세 현황'!$O$5:$O$97,'상세 현황'!$B$5:$B$97,A36,'상세 현황'!$E$5:$E$97,B36)</f>
        <v>0</v>
      </c>
      <c r="I36" s="6">
        <v>2</v>
      </c>
      <c r="J36" s="9" t="str">
        <f t="shared" si="0"/>
        <v>일치</v>
      </c>
    </row>
    <row r="37" spans="1:10" ht="15.6" customHeight="1">
      <c r="A37" s="9" t="s">
        <v>18</v>
      </c>
      <c r="B37" s="9" t="s">
        <v>42</v>
      </c>
      <c r="C37" s="9" t="s">
        <v>43</v>
      </c>
      <c r="D37" s="6">
        <f>SUMIFS('상세 현황'!$H$5:$H$97,'상세 현황'!$B$5:$B$97,A37,'상세 현황'!$E$5:$E$97,B37)</f>
        <v>3819</v>
      </c>
      <c r="E37" s="6">
        <f>SUMIFS('상세 현황'!$I$5:$I$97,'상세 현황'!$B$5:$B$97,A37,'상세 현황'!$E$5:$E$97,B37)</f>
        <v>3819</v>
      </c>
      <c r="F37" s="6">
        <f>SUMIFS('상세 현황'!$J$5:$J$97,'상세 현황'!$B$5:$B$97,A37,'상세 현황'!$E$5:$E$97,B37)</f>
        <v>3819</v>
      </c>
      <c r="G37" s="6">
        <f>SUMIFS('상세 현황'!$N$5:$N$97,'상세 현황'!$B$5:$B$97,A37,'상세 현황'!$E$5:$E$97,B37)</f>
        <v>0</v>
      </c>
      <c r="H37" s="6">
        <f>SUMIFS('상세 현황'!$O$5:$O$97,'상세 현황'!$B$5:$B$97,A37,'상세 현황'!$E$5:$E$97,B37)</f>
        <v>0</v>
      </c>
      <c r="I37" s="6">
        <v>2</v>
      </c>
      <c r="J37" s="9" t="str">
        <f t="shared" ref="J37:J59" si="1">IF(G37+H37=0,"일치","확인 필요")</f>
        <v>일치</v>
      </c>
    </row>
    <row r="38" spans="1:10" ht="15.6" customHeight="1">
      <c r="A38" s="9" t="s">
        <v>18</v>
      </c>
      <c r="B38" s="9" t="s">
        <v>44</v>
      </c>
      <c r="C38" s="9" t="s">
        <v>45</v>
      </c>
      <c r="D38" s="6">
        <f>SUMIFS('상세 현황'!$H$5:$H$97,'상세 현황'!$B$5:$B$97,A38,'상세 현황'!$E$5:$E$97,B38)</f>
        <v>4805</v>
      </c>
      <c r="E38" s="6">
        <f>SUMIFS('상세 현황'!$I$5:$I$97,'상세 현황'!$B$5:$B$97,A38,'상세 현황'!$E$5:$E$97,B38)</f>
        <v>4805</v>
      </c>
      <c r="F38" s="6">
        <f>SUMIFS('상세 현황'!$J$5:$J$97,'상세 현황'!$B$5:$B$97,A38,'상세 현황'!$E$5:$E$97,B38)</f>
        <v>4805</v>
      </c>
      <c r="G38" s="6">
        <f>SUMIFS('상세 현황'!$N$5:$N$97,'상세 현황'!$B$5:$B$97,A38,'상세 현황'!$E$5:$E$97,B38)</f>
        <v>0</v>
      </c>
      <c r="H38" s="6">
        <f>SUMIFS('상세 현황'!$O$5:$O$97,'상세 현황'!$B$5:$B$97,A38,'상세 현황'!$E$5:$E$97,B38)</f>
        <v>0</v>
      </c>
      <c r="I38" s="6">
        <v>2</v>
      </c>
      <c r="J38" s="9" t="str">
        <f t="shared" si="1"/>
        <v>일치</v>
      </c>
    </row>
    <row r="39" spans="1:10" ht="15.6" customHeight="1">
      <c r="A39" s="9" t="s">
        <v>18</v>
      </c>
      <c r="B39" s="9" t="s">
        <v>46</v>
      </c>
      <c r="C39" s="9" t="s">
        <v>47</v>
      </c>
      <c r="D39" s="6">
        <f>SUMIFS('상세 현황'!$H$5:$H$97,'상세 현황'!$B$5:$B$97,A39,'상세 현황'!$E$5:$E$97,B39)</f>
        <v>347</v>
      </c>
      <c r="E39" s="6">
        <f>SUMIFS('상세 현황'!$I$5:$I$97,'상세 현황'!$B$5:$B$97,A39,'상세 현황'!$E$5:$E$97,B39)</f>
        <v>347</v>
      </c>
      <c r="F39" s="6">
        <f>SUMIFS('상세 현황'!$J$5:$J$97,'상세 현황'!$B$5:$B$97,A39,'상세 현황'!$E$5:$E$97,B39)</f>
        <v>347</v>
      </c>
      <c r="G39" s="6">
        <f>SUMIFS('상세 현황'!$N$5:$N$97,'상세 현황'!$B$5:$B$97,A39,'상세 현황'!$E$5:$E$97,B39)</f>
        <v>0</v>
      </c>
      <c r="H39" s="6">
        <f>SUMIFS('상세 현황'!$O$5:$O$97,'상세 현황'!$B$5:$B$97,A39,'상세 현황'!$E$5:$E$97,B39)</f>
        <v>0</v>
      </c>
      <c r="I39" s="6">
        <v>1</v>
      </c>
      <c r="J39" s="9" t="str">
        <f t="shared" si="1"/>
        <v>일치</v>
      </c>
    </row>
    <row r="40" spans="1:10" ht="15.6" customHeight="1">
      <c r="A40" s="9" t="s">
        <v>18</v>
      </c>
      <c r="B40" s="9" t="s">
        <v>48</v>
      </c>
      <c r="C40" s="9" t="s">
        <v>49</v>
      </c>
      <c r="D40" s="6">
        <f>SUMIFS('상세 현황'!$H$5:$H$97,'상세 현황'!$B$5:$B$97,A40,'상세 현황'!$E$5:$E$97,B40)</f>
        <v>9</v>
      </c>
      <c r="E40" s="6">
        <f>SUMIFS('상세 현황'!$I$5:$I$97,'상세 현황'!$B$5:$B$97,A40,'상세 현황'!$E$5:$E$97,B40)</f>
        <v>9</v>
      </c>
      <c r="F40" s="6">
        <f>SUMIFS('상세 현황'!$J$5:$J$97,'상세 현황'!$B$5:$B$97,A40,'상세 현황'!$E$5:$E$97,B40)</f>
        <v>9</v>
      </c>
      <c r="G40" s="6">
        <f>SUMIFS('상세 현황'!$N$5:$N$97,'상세 현황'!$B$5:$B$97,A40,'상세 현황'!$E$5:$E$97,B40)</f>
        <v>0</v>
      </c>
      <c r="H40" s="6">
        <f>SUMIFS('상세 현황'!$O$5:$O$97,'상세 현황'!$B$5:$B$97,A40,'상세 현황'!$E$5:$E$97,B40)</f>
        <v>0</v>
      </c>
      <c r="I40" s="6">
        <v>1</v>
      </c>
      <c r="J40" s="9" t="str">
        <f t="shared" si="1"/>
        <v>일치</v>
      </c>
    </row>
    <row r="41" spans="1:10" ht="15.6" customHeight="1">
      <c r="A41" s="9" t="s">
        <v>18</v>
      </c>
      <c r="B41" s="9" t="s">
        <v>50</v>
      </c>
      <c r="C41" s="9" t="s">
        <v>51</v>
      </c>
      <c r="D41" s="6">
        <f>SUMIFS('상세 현황'!$H$5:$H$97,'상세 현황'!$B$5:$B$97,A41,'상세 현황'!$E$5:$E$97,B41)</f>
        <v>24</v>
      </c>
      <c r="E41" s="6">
        <f>SUMIFS('상세 현황'!$I$5:$I$97,'상세 현황'!$B$5:$B$97,A41,'상세 현황'!$E$5:$E$97,B41)</f>
        <v>24</v>
      </c>
      <c r="F41" s="6">
        <f>SUMIFS('상세 현황'!$J$5:$J$97,'상세 현황'!$B$5:$B$97,A41,'상세 현황'!$E$5:$E$97,B41)</f>
        <v>24</v>
      </c>
      <c r="G41" s="6">
        <f>SUMIFS('상세 현황'!$N$5:$N$97,'상세 현황'!$B$5:$B$97,A41,'상세 현황'!$E$5:$E$97,B41)</f>
        <v>0</v>
      </c>
      <c r="H41" s="6">
        <f>SUMIFS('상세 현황'!$O$5:$O$97,'상세 현황'!$B$5:$B$97,A41,'상세 현황'!$E$5:$E$97,B41)</f>
        <v>0</v>
      </c>
      <c r="I41" s="6">
        <v>1</v>
      </c>
      <c r="J41" s="9" t="str">
        <f t="shared" si="1"/>
        <v>일치</v>
      </c>
    </row>
    <row r="42" spans="1:10" ht="15.6" customHeight="1">
      <c r="A42" s="9" t="s">
        <v>18</v>
      </c>
      <c r="B42" s="9" t="s">
        <v>52</v>
      </c>
      <c r="C42" s="9" t="s">
        <v>53</v>
      </c>
      <c r="D42" s="6">
        <f>SUMIFS('상세 현황'!$H$5:$H$97,'상세 현황'!$B$5:$B$97,A42,'상세 현황'!$E$5:$E$97,B42)</f>
        <v>73</v>
      </c>
      <c r="E42" s="6">
        <f>SUMIFS('상세 현황'!$I$5:$I$97,'상세 현황'!$B$5:$B$97,A42,'상세 현황'!$E$5:$E$97,B42)</f>
        <v>73</v>
      </c>
      <c r="F42" s="6">
        <f>SUMIFS('상세 현황'!$J$5:$J$97,'상세 현황'!$B$5:$B$97,A42,'상세 현황'!$E$5:$E$97,B42)</f>
        <v>73</v>
      </c>
      <c r="G42" s="6">
        <f>SUMIFS('상세 현황'!$N$5:$N$97,'상세 현황'!$B$5:$B$97,A42,'상세 현황'!$E$5:$E$97,B42)</f>
        <v>0</v>
      </c>
      <c r="H42" s="6">
        <f>SUMIFS('상세 현황'!$O$5:$O$97,'상세 현황'!$B$5:$B$97,A42,'상세 현황'!$E$5:$E$97,B42)</f>
        <v>0</v>
      </c>
      <c r="I42" s="6">
        <v>1</v>
      </c>
      <c r="J42" s="9" t="str">
        <f t="shared" si="1"/>
        <v>일치</v>
      </c>
    </row>
    <row r="43" spans="1:10" ht="15.6" customHeight="1">
      <c r="A43" s="9" t="s">
        <v>18</v>
      </c>
      <c r="B43" s="9" t="s">
        <v>54</v>
      </c>
      <c r="C43" s="9" t="s">
        <v>55</v>
      </c>
      <c r="D43" s="6">
        <f>SUMIFS('상세 현황'!$H$5:$H$97,'상세 현황'!$B$5:$B$97,A43,'상세 현황'!$E$5:$E$97,B43)</f>
        <v>161</v>
      </c>
      <c r="E43" s="6">
        <f>SUMIFS('상세 현황'!$I$5:$I$97,'상세 현황'!$B$5:$B$97,A43,'상세 현황'!$E$5:$E$97,B43)</f>
        <v>161</v>
      </c>
      <c r="F43" s="6">
        <f>SUMIFS('상세 현황'!$J$5:$J$97,'상세 현황'!$B$5:$B$97,A43,'상세 현황'!$E$5:$E$97,B43)</f>
        <v>161</v>
      </c>
      <c r="G43" s="6">
        <f>SUMIFS('상세 현황'!$N$5:$N$97,'상세 현황'!$B$5:$B$97,A43,'상세 현황'!$E$5:$E$97,B43)</f>
        <v>0</v>
      </c>
      <c r="H43" s="6">
        <f>SUMIFS('상세 현황'!$O$5:$O$97,'상세 현황'!$B$5:$B$97,A43,'상세 현황'!$E$5:$E$97,B43)</f>
        <v>0</v>
      </c>
      <c r="I43" s="6">
        <v>1</v>
      </c>
      <c r="J43" s="9" t="str">
        <f t="shared" si="1"/>
        <v>일치</v>
      </c>
    </row>
    <row r="44" spans="1:10" ht="15.6" customHeight="1">
      <c r="A44" s="9" t="s">
        <v>18</v>
      </c>
      <c r="B44" s="9" t="s">
        <v>56</v>
      </c>
      <c r="C44" s="9" t="s">
        <v>57</v>
      </c>
      <c r="D44" s="6">
        <f>SUMIFS('상세 현황'!$H$5:$H$97,'상세 현황'!$B$5:$B$97,A44,'상세 현황'!$E$5:$E$97,B44)</f>
        <v>3962</v>
      </c>
      <c r="E44" s="6">
        <f>SUMIFS('상세 현황'!$I$5:$I$97,'상세 현황'!$B$5:$B$97,A44,'상세 현황'!$E$5:$E$97,B44)</f>
        <v>3962</v>
      </c>
      <c r="F44" s="6">
        <f>SUMIFS('상세 현황'!$J$5:$J$97,'상세 현황'!$B$5:$B$97,A44,'상세 현황'!$E$5:$E$97,B44)</f>
        <v>3962</v>
      </c>
      <c r="G44" s="6">
        <f>SUMIFS('상세 현황'!$N$5:$N$97,'상세 현황'!$B$5:$B$97,A44,'상세 현황'!$E$5:$E$97,B44)</f>
        <v>0</v>
      </c>
      <c r="H44" s="6">
        <f>SUMIFS('상세 현황'!$O$5:$O$97,'상세 현황'!$B$5:$B$97,A44,'상세 현황'!$E$5:$E$97,B44)</f>
        <v>0</v>
      </c>
      <c r="I44" s="6">
        <v>2</v>
      </c>
      <c r="J44" s="9" t="str">
        <f t="shared" si="1"/>
        <v>일치</v>
      </c>
    </row>
    <row r="45" spans="1:10" ht="15.6" customHeight="1">
      <c r="A45" s="9" t="s">
        <v>18</v>
      </c>
      <c r="B45" s="9" t="s">
        <v>58</v>
      </c>
      <c r="C45" s="9" t="s">
        <v>59</v>
      </c>
      <c r="D45" s="6">
        <f>SUMIFS('상세 현황'!$H$5:$H$97,'상세 현황'!$B$5:$B$97,A45,'상세 현황'!$E$5:$E$97,B45)</f>
        <v>4994</v>
      </c>
      <c r="E45" s="6">
        <f>SUMIFS('상세 현황'!$I$5:$I$97,'상세 현황'!$B$5:$B$97,A45,'상세 현황'!$E$5:$E$97,B45)</f>
        <v>4994</v>
      </c>
      <c r="F45" s="6">
        <f>SUMIFS('상세 현황'!$J$5:$J$97,'상세 현황'!$B$5:$B$97,A45,'상세 현황'!$E$5:$E$97,B45)</f>
        <v>4994</v>
      </c>
      <c r="G45" s="6">
        <f>SUMIFS('상세 현황'!$N$5:$N$97,'상세 현황'!$B$5:$B$97,A45,'상세 현황'!$E$5:$E$97,B45)</f>
        <v>0</v>
      </c>
      <c r="H45" s="6">
        <f>SUMIFS('상세 현황'!$O$5:$O$97,'상세 현황'!$B$5:$B$97,A45,'상세 현황'!$E$5:$E$97,B45)</f>
        <v>0</v>
      </c>
      <c r="I45" s="6">
        <v>1</v>
      </c>
      <c r="J45" s="9" t="str">
        <f t="shared" si="1"/>
        <v>일치</v>
      </c>
    </row>
    <row r="46" spans="1:10" ht="15.6" customHeight="1">
      <c r="A46" s="9" t="s">
        <v>18</v>
      </c>
      <c r="B46" s="9" t="s">
        <v>60</v>
      </c>
      <c r="C46" s="9" t="s">
        <v>61</v>
      </c>
      <c r="D46" s="6">
        <f>SUMIFS('상세 현황'!$H$5:$H$97,'상세 현황'!$B$5:$B$97,A46,'상세 현황'!$E$5:$E$97,B46)</f>
        <v>347</v>
      </c>
      <c r="E46" s="6">
        <f>SUMIFS('상세 현황'!$I$5:$I$97,'상세 현황'!$B$5:$B$97,A46,'상세 현황'!$E$5:$E$97,B46)</f>
        <v>347</v>
      </c>
      <c r="F46" s="6">
        <f>SUMIFS('상세 현황'!$J$5:$J$97,'상세 현황'!$B$5:$B$97,A46,'상세 현황'!$E$5:$E$97,B46)</f>
        <v>347</v>
      </c>
      <c r="G46" s="6">
        <f>SUMIFS('상세 현황'!$N$5:$N$97,'상세 현황'!$B$5:$B$97,A46,'상세 현황'!$E$5:$E$97,B46)</f>
        <v>0</v>
      </c>
      <c r="H46" s="6">
        <f>SUMIFS('상세 현황'!$O$5:$O$97,'상세 현황'!$B$5:$B$97,A46,'상세 현황'!$E$5:$E$97,B46)</f>
        <v>0</v>
      </c>
      <c r="I46" s="6">
        <v>1</v>
      </c>
      <c r="J46" s="9" t="str">
        <f t="shared" si="1"/>
        <v>일치</v>
      </c>
    </row>
    <row r="47" spans="1:10" ht="15.6" customHeight="1">
      <c r="A47" s="9" t="s">
        <v>18</v>
      </c>
      <c r="B47" s="9" t="s">
        <v>62</v>
      </c>
      <c r="C47" s="9" t="s">
        <v>63</v>
      </c>
      <c r="D47" s="6">
        <f>SUMIFS('상세 현황'!$H$5:$H$97,'상세 현황'!$B$5:$B$97,A47,'상세 현황'!$E$5:$E$97,B47)</f>
        <v>132</v>
      </c>
      <c r="E47" s="6">
        <f>SUMIFS('상세 현황'!$I$5:$I$97,'상세 현황'!$B$5:$B$97,A47,'상세 현황'!$E$5:$E$97,B47)</f>
        <v>132</v>
      </c>
      <c r="F47" s="6">
        <f>SUMIFS('상세 현황'!$J$5:$J$97,'상세 현황'!$B$5:$B$97,A47,'상세 현황'!$E$5:$E$97,B47)</f>
        <v>132</v>
      </c>
      <c r="G47" s="6">
        <f>SUMIFS('상세 현황'!$N$5:$N$97,'상세 현황'!$B$5:$B$97,A47,'상세 현황'!$E$5:$E$97,B47)</f>
        <v>0</v>
      </c>
      <c r="H47" s="6">
        <f>SUMIFS('상세 현황'!$O$5:$O$97,'상세 현황'!$B$5:$B$97,A47,'상세 현황'!$E$5:$E$97,B47)</f>
        <v>0</v>
      </c>
      <c r="I47" s="6">
        <v>1</v>
      </c>
      <c r="J47" s="9" t="str">
        <f t="shared" si="1"/>
        <v>일치</v>
      </c>
    </row>
    <row r="48" spans="1:10" ht="15.6" customHeight="1">
      <c r="A48" s="9" t="s">
        <v>18</v>
      </c>
      <c r="B48" s="9" t="s">
        <v>66</v>
      </c>
      <c r="C48" s="9" t="s">
        <v>67</v>
      </c>
      <c r="D48" s="6">
        <f>SUMIFS('상세 현황'!$H$5:$H$97,'상세 현황'!$B$5:$B$97,A48,'상세 현황'!$E$5:$E$97,B48)</f>
        <v>3679</v>
      </c>
      <c r="E48" s="6">
        <f>SUMIFS('상세 현황'!$I$5:$I$97,'상세 현황'!$B$5:$B$97,A48,'상세 현황'!$E$5:$E$97,B48)</f>
        <v>3679</v>
      </c>
      <c r="F48" s="6">
        <f>SUMIFS('상세 현황'!$J$5:$J$97,'상세 현황'!$B$5:$B$97,A48,'상세 현황'!$E$5:$E$97,B48)</f>
        <v>3679</v>
      </c>
      <c r="G48" s="6">
        <f>SUMIFS('상세 현황'!$N$5:$N$97,'상세 현황'!$B$5:$B$97,A48,'상세 현황'!$E$5:$E$97,B48)</f>
        <v>0</v>
      </c>
      <c r="H48" s="6">
        <f>SUMIFS('상세 현황'!$O$5:$O$97,'상세 현황'!$B$5:$B$97,A48,'상세 현황'!$E$5:$E$97,B48)</f>
        <v>0</v>
      </c>
      <c r="I48" s="6">
        <v>2</v>
      </c>
      <c r="J48" s="9" t="str">
        <f t="shared" si="1"/>
        <v>일치</v>
      </c>
    </row>
    <row r="49" spans="1:10" ht="15.6" customHeight="1">
      <c r="A49" s="9" t="s">
        <v>18</v>
      </c>
      <c r="B49" s="9" t="s">
        <v>68</v>
      </c>
      <c r="C49" s="9" t="s">
        <v>69</v>
      </c>
      <c r="D49" s="6">
        <f>SUMIFS('상세 현황'!$H$5:$H$97,'상세 현황'!$B$5:$B$97,A49,'상세 현황'!$E$5:$E$97,B49)</f>
        <v>3897</v>
      </c>
      <c r="E49" s="6">
        <f>SUMIFS('상세 현황'!$I$5:$I$97,'상세 현황'!$B$5:$B$97,A49,'상세 현황'!$E$5:$E$97,B49)</f>
        <v>3897</v>
      </c>
      <c r="F49" s="6">
        <f>SUMIFS('상세 현황'!$J$5:$J$97,'상세 현황'!$B$5:$B$97,A49,'상세 현황'!$E$5:$E$97,B49)</f>
        <v>3897</v>
      </c>
      <c r="G49" s="6">
        <f>SUMIFS('상세 현황'!$N$5:$N$97,'상세 현황'!$B$5:$B$97,A49,'상세 현황'!$E$5:$E$97,B49)</f>
        <v>0</v>
      </c>
      <c r="H49" s="6">
        <f>SUMIFS('상세 현황'!$O$5:$O$97,'상세 현황'!$B$5:$B$97,A49,'상세 현황'!$E$5:$E$97,B49)</f>
        <v>0</v>
      </c>
      <c r="I49" s="6">
        <v>2</v>
      </c>
      <c r="J49" s="9" t="str">
        <f t="shared" si="1"/>
        <v>일치</v>
      </c>
    </row>
    <row r="50" spans="1:10" ht="15.6" customHeight="1">
      <c r="A50" s="9" t="s">
        <v>18</v>
      </c>
      <c r="B50" s="9" t="s">
        <v>70</v>
      </c>
      <c r="C50" s="9" t="s">
        <v>71</v>
      </c>
      <c r="D50" s="6">
        <f>SUMIFS('상세 현황'!$H$5:$H$97,'상세 현황'!$B$5:$B$97,A50,'상세 현황'!$E$5:$E$97,B50)</f>
        <v>900</v>
      </c>
      <c r="E50" s="6">
        <f>SUMIFS('상세 현황'!$I$5:$I$97,'상세 현황'!$B$5:$B$97,A50,'상세 현황'!$E$5:$E$97,B50)</f>
        <v>900</v>
      </c>
      <c r="F50" s="6">
        <f>SUMIFS('상세 현황'!$J$5:$J$97,'상세 현황'!$B$5:$B$97,A50,'상세 현황'!$E$5:$E$97,B50)</f>
        <v>900</v>
      </c>
      <c r="G50" s="6">
        <f>SUMIFS('상세 현황'!$N$5:$N$97,'상세 현황'!$B$5:$B$97,A50,'상세 현황'!$E$5:$E$97,B50)</f>
        <v>0</v>
      </c>
      <c r="H50" s="6">
        <f>SUMIFS('상세 현황'!$O$5:$O$97,'상세 현황'!$B$5:$B$97,A50,'상세 현황'!$E$5:$E$97,B50)</f>
        <v>0</v>
      </c>
      <c r="I50" s="6">
        <v>1</v>
      </c>
      <c r="J50" s="9" t="str">
        <f t="shared" si="1"/>
        <v>일치</v>
      </c>
    </row>
    <row r="51" spans="1:10" ht="15.6" customHeight="1">
      <c r="A51" s="9" t="s">
        <v>18</v>
      </c>
      <c r="B51" s="9" t="s">
        <v>72</v>
      </c>
      <c r="C51" s="9" t="s">
        <v>73</v>
      </c>
      <c r="D51" s="6">
        <f>SUMIFS('상세 현황'!$H$5:$H$97,'상세 현황'!$B$5:$B$97,A51,'상세 현황'!$E$5:$E$97,B51)</f>
        <v>112</v>
      </c>
      <c r="E51" s="6">
        <f>SUMIFS('상세 현황'!$I$5:$I$97,'상세 현황'!$B$5:$B$97,A51,'상세 현황'!$E$5:$E$97,B51)</f>
        <v>112</v>
      </c>
      <c r="F51" s="6">
        <f>SUMIFS('상세 현황'!$J$5:$J$97,'상세 현황'!$B$5:$B$97,A51,'상세 현황'!$E$5:$E$97,B51)</f>
        <v>112</v>
      </c>
      <c r="G51" s="6">
        <f>SUMIFS('상세 현황'!$N$5:$N$97,'상세 현황'!$B$5:$B$97,A51,'상세 현황'!$E$5:$E$97,B51)</f>
        <v>0</v>
      </c>
      <c r="H51" s="6">
        <f>SUMIFS('상세 현황'!$O$5:$O$97,'상세 현황'!$B$5:$B$97,A51,'상세 현황'!$E$5:$E$97,B51)</f>
        <v>0</v>
      </c>
      <c r="I51" s="6">
        <v>1</v>
      </c>
      <c r="J51" s="9" t="str">
        <f t="shared" si="1"/>
        <v>일치</v>
      </c>
    </row>
    <row r="52" spans="1:10" ht="15.6" customHeight="1">
      <c r="A52" s="9" t="s">
        <v>18</v>
      </c>
      <c r="B52" s="9" t="s">
        <v>74</v>
      </c>
      <c r="C52" s="9" t="s">
        <v>75</v>
      </c>
      <c r="D52" s="6">
        <f>SUMIFS('상세 현황'!$H$5:$H$97,'상세 현황'!$B$5:$B$97,A52,'상세 현황'!$E$5:$E$97,B52)</f>
        <v>3899</v>
      </c>
      <c r="E52" s="6">
        <f>SUMIFS('상세 현황'!$I$5:$I$97,'상세 현황'!$B$5:$B$97,A52,'상세 현황'!$E$5:$E$97,B52)</f>
        <v>3899</v>
      </c>
      <c r="F52" s="6">
        <f>SUMIFS('상세 현황'!$J$5:$J$97,'상세 현황'!$B$5:$B$97,A52,'상세 현황'!$E$5:$E$97,B52)</f>
        <v>3899</v>
      </c>
      <c r="G52" s="6">
        <f>SUMIFS('상세 현황'!$N$5:$N$97,'상세 현황'!$B$5:$B$97,A52,'상세 현황'!$E$5:$E$97,B52)</f>
        <v>0</v>
      </c>
      <c r="H52" s="6">
        <f>SUMIFS('상세 현황'!$O$5:$O$97,'상세 현황'!$B$5:$B$97,A52,'상세 현황'!$E$5:$E$97,B52)</f>
        <v>0</v>
      </c>
      <c r="I52" s="6">
        <v>2</v>
      </c>
      <c r="J52" s="9" t="str">
        <f t="shared" si="1"/>
        <v>일치</v>
      </c>
    </row>
    <row r="53" spans="1:10" ht="15.6" customHeight="1">
      <c r="A53" s="9" t="s">
        <v>18</v>
      </c>
      <c r="B53" s="9" t="s">
        <v>76</v>
      </c>
      <c r="C53" s="9" t="s">
        <v>77</v>
      </c>
      <c r="D53" s="6">
        <f>SUMIFS('상세 현황'!$H$5:$H$97,'상세 현황'!$B$5:$B$97,A53,'상세 현황'!$E$5:$E$97,B53)</f>
        <v>990</v>
      </c>
      <c r="E53" s="6">
        <f>SUMIFS('상세 현황'!$I$5:$I$97,'상세 현황'!$B$5:$B$97,A53,'상세 현황'!$E$5:$E$97,B53)</f>
        <v>990</v>
      </c>
      <c r="F53" s="6">
        <f>SUMIFS('상세 현황'!$J$5:$J$97,'상세 현황'!$B$5:$B$97,A53,'상세 현황'!$E$5:$E$97,B53)</f>
        <v>990</v>
      </c>
      <c r="G53" s="6">
        <f>SUMIFS('상세 현황'!$N$5:$N$97,'상세 현황'!$B$5:$B$97,A53,'상세 현황'!$E$5:$E$97,B53)</f>
        <v>0</v>
      </c>
      <c r="H53" s="6">
        <f>SUMIFS('상세 현황'!$O$5:$O$97,'상세 현황'!$B$5:$B$97,A53,'상세 현황'!$E$5:$E$97,B53)</f>
        <v>0</v>
      </c>
      <c r="I53" s="6">
        <v>1</v>
      </c>
      <c r="J53" s="9" t="str">
        <f t="shared" si="1"/>
        <v>일치</v>
      </c>
    </row>
    <row r="54" spans="1:10" ht="15.6" customHeight="1">
      <c r="A54" s="9" t="s">
        <v>18</v>
      </c>
      <c r="B54" s="9" t="s">
        <v>78</v>
      </c>
      <c r="C54" s="9" t="s">
        <v>79</v>
      </c>
      <c r="D54" s="6">
        <f>SUMIFS('상세 현황'!$H$5:$H$97,'상세 현황'!$B$5:$B$97,A54,'상세 현황'!$E$5:$E$97,B54)</f>
        <v>0</v>
      </c>
      <c r="E54" s="6">
        <f>SUMIFS('상세 현황'!$I$5:$I$97,'상세 현황'!$B$5:$B$97,A54,'상세 현황'!$E$5:$E$97,B54)</f>
        <v>0</v>
      </c>
      <c r="F54" s="6">
        <f>SUMIFS('상세 현황'!$J$5:$J$97,'상세 현황'!$B$5:$B$97,A54,'상세 현황'!$E$5:$E$97,B54)</f>
        <v>0</v>
      </c>
      <c r="G54" s="6">
        <f>SUMIFS('상세 현황'!$N$5:$N$97,'상세 현황'!$B$5:$B$97,A54,'상세 현황'!$E$5:$E$97,B54)</f>
        <v>0</v>
      </c>
      <c r="H54" s="6">
        <f>SUMIFS('상세 현황'!$O$5:$O$97,'상세 현황'!$B$5:$B$97,A54,'상세 현황'!$E$5:$E$97,B54)</f>
        <v>0</v>
      </c>
      <c r="I54" s="6">
        <v>1</v>
      </c>
      <c r="J54" s="9" t="str">
        <f t="shared" si="1"/>
        <v>일치</v>
      </c>
    </row>
    <row r="55" spans="1:10" ht="15.6" customHeight="1">
      <c r="A55" s="9" t="s">
        <v>18</v>
      </c>
      <c r="B55" s="9" t="s">
        <v>88</v>
      </c>
      <c r="C55" s="9" t="s">
        <v>89</v>
      </c>
      <c r="D55" s="6">
        <f>SUMIFS('상세 현황'!$H$5:$H$97,'상세 현황'!$B$5:$B$97,A55,'상세 현황'!$E$5:$E$97,B55)</f>
        <v>224</v>
      </c>
      <c r="E55" s="6">
        <f>SUMIFS('상세 현황'!$I$5:$I$97,'상세 현황'!$B$5:$B$97,A55,'상세 현황'!$E$5:$E$97,B55)</f>
        <v>224</v>
      </c>
      <c r="F55" s="6">
        <f>SUMIFS('상세 현황'!$J$5:$J$97,'상세 현황'!$B$5:$B$97,A55,'상세 현황'!$E$5:$E$97,B55)</f>
        <v>224</v>
      </c>
      <c r="G55" s="6">
        <f>SUMIFS('상세 현황'!$N$5:$N$97,'상세 현황'!$B$5:$B$97,A55,'상세 현황'!$E$5:$E$97,B55)</f>
        <v>0</v>
      </c>
      <c r="H55" s="6">
        <f>SUMIFS('상세 현황'!$O$5:$O$97,'상세 현황'!$B$5:$B$97,A55,'상세 현황'!$E$5:$E$97,B55)</f>
        <v>0</v>
      </c>
      <c r="I55" s="6">
        <v>1</v>
      </c>
      <c r="J55" s="9" t="str">
        <f t="shared" si="1"/>
        <v>일치</v>
      </c>
    </row>
    <row r="56" spans="1:10" ht="15.6" customHeight="1">
      <c r="A56" s="9" t="s">
        <v>18</v>
      </c>
      <c r="B56" s="9" t="s">
        <v>90</v>
      </c>
      <c r="C56" s="9" t="s">
        <v>91</v>
      </c>
      <c r="D56" s="6">
        <f>SUMIFS('상세 현황'!$H$5:$H$97,'상세 현황'!$B$5:$B$97,A56,'상세 현황'!$E$5:$E$97,B56)</f>
        <v>144</v>
      </c>
      <c r="E56" s="6">
        <f>SUMIFS('상세 현황'!$I$5:$I$97,'상세 현황'!$B$5:$B$97,A56,'상세 현황'!$E$5:$E$97,B56)</f>
        <v>144</v>
      </c>
      <c r="F56" s="6">
        <f>SUMIFS('상세 현황'!$J$5:$J$97,'상세 현황'!$B$5:$B$97,A56,'상세 현황'!$E$5:$E$97,B56)</f>
        <v>144</v>
      </c>
      <c r="G56" s="6">
        <f>SUMIFS('상세 현황'!$N$5:$N$97,'상세 현황'!$B$5:$B$97,A56,'상세 현황'!$E$5:$E$97,B56)</f>
        <v>0</v>
      </c>
      <c r="H56" s="6">
        <f>SUMIFS('상세 현황'!$O$5:$O$97,'상세 현황'!$B$5:$B$97,A56,'상세 현황'!$E$5:$E$97,B56)</f>
        <v>0</v>
      </c>
      <c r="I56" s="6">
        <v>1</v>
      </c>
      <c r="J56" s="9" t="str">
        <f t="shared" si="1"/>
        <v>일치</v>
      </c>
    </row>
    <row r="57" spans="1:10" ht="15.6" customHeight="1">
      <c r="A57" s="9" t="s">
        <v>18</v>
      </c>
      <c r="B57" s="9" t="s">
        <v>92</v>
      </c>
      <c r="C57" s="9" t="s">
        <v>93</v>
      </c>
      <c r="D57" s="6">
        <f>SUMIFS('상세 현황'!$H$5:$H$97,'상세 현황'!$B$5:$B$97,A57,'상세 현황'!$E$5:$E$97,B57)</f>
        <v>3798</v>
      </c>
      <c r="E57" s="6">
        <f>SUMIFS('상세 현황'!$I$5:$I$97,'상세 현황'!$B$5:$B$97,A57,'상세 현황'!$E$5:$E$97,B57)</f>
        <v>3798</v>
      </c>
      <c r="F57" s="6">
        <f>SUMIFS('상세 현황'!$J$5:$J$97,'상세 현황'!$B$5:$B$97,A57,'상세 현황'!$E$5:$E$97,B57)</f>
        <v>3798</v>
      </c>
      <c r="G57" s="6">
        <f>SUMIFS('상세 현황'!$N$5:$N$97,'상세 현황'!$B$5:$B$97,A57,'상세 현황'!$E$5:$E$97,B57)</f>
        <v>0</v>
      </c>
      <c r="H57" s="6">
        <f>SUMIFS('상세 현황'!$O$5:$O$97,'상세 현황'!$B$5:$B$97,A57,'상세 현황'!$E$5:$E$97,B57)</f>
        <v>0</v>
      </c>
      <c r="I57" s="6">
        <v>2</v>
      </c>
      <c r="J57" s="9" t="str">
        <f t="shared" si="1"/>
        <v>일치</v>
      </c>
    </row>
    <row r="58" spans="1:10" ht="15.6" customHeight="1">
      <c r="A58" s="9" t="s">
        <v>18</v>
      </c>
      <c r="B58" s="9" t="s">
        <v>94</v>
      </c>
      <c r="C58" s="9" t="s">
        <v>95</v>
      </c>
      <c r="D58" s="6">
        <f>SUMIFS('상세 현황'!$H$5:$H$97,'상세 현황'!$B$5:$B$97,A58,'상세 현황'!$E$5:$E$97,B58)</f>
        <v>583</v>
      </c>
      <c r="E58" s="6">
        <f>SUMIFS('상세 현황'!$I$5:$I$97,'상세 현황'!$B$5:$B$97,A58,'상세 현황'!$E$5:$E$97,B58)</f>
        <v>583</v>
      </c>
      <c r="F58" s="6">
        <f>SUMIFS('상세 현황'!$J$5:$J$97,'상세 현황'!$B$5:$B$97,A58,'상세 현황'!$E$5:$E$97,B58)</f>
        <v>583</v>
      </c>
      <c r="G58" s="6">
        <f>SUMIFS('상세 현황'!$N$5:$N$97,'상세 현황'!$B$5:$B$97,A58,'상세 현황'!$E$5:$E$97,B58)</f>
        <v>0</v>
      </c>
      <c r="H58" s="6">
        <f>SUMIFS('상세 현황'!$O$5:$O$97,'상세 현황'!$B$5:$B$97,A58,'상세 현황'!$E$5:$E$97,B58)</f>
        <v>0</v>
      </c>
      <c r="I58" s="6">
        <v>1</v>
      </c>
      <c r="J58" s="9" t="str">
        <f t="shared" si="1"/>
        <v>일치</v>
      </c>
    </row>
    <row r="59" spans="1:10" ht="15.6" customHeight="1">
      <c r="A59" s="10" t="s">
        <v>18</v>
      </c>
      <c r="B59" s="10" t="s">
        <v>96</v>
      </c>
      <c r="C59" s="10" t="s">
        <v>97</v>
      </c>
      <c r="D59" s="7">
        <f>SUMIFS('상세 현황'!$H$5:$H$97,'상세 현황'!$B$5:$B$97,A59,'상세 현황'!$E$5:$E$97,B59)</f>
        <v>181</v>
      </c>
      <c r="E59" s="7">
        <f>SUMIFS('상세 현황'!$I$5:$I$97,'상세 현황'!$B$5:$B$97,A59,'상세 현황'!$E$5:$E$97,B59)</f>
        <v>181</v>
      </c>
      <c r="F59" s="7">
        <f>SUMIFS('상세 현황'!$J$5:$J$97,'상세 현황'!$B$5:$B$97,A59,'상세 현황'!$E$5:$E$97,B59)</f>
        <v>181</v>
      </c>
      <c r="G59" s="7">
        <f>SUMIFS('상세 현황'!$N$5:$N$97,'상세 현황'!$B$5:$B$97,A59,'상세 현황'!$E$5:$E$97,B59)</f>
        <v>0</v>
      </c>
      <c r="H59" s="7">
        <f>SUMIFS('상세 현황'!$O$5:$O$97,'상세 현황'!$B$5:$B$97,A59,'상세 현황'!$E$5:$E$97,B59)</f>
        <v>0</v>
      </c>
      <c r="I59" s="7">
        <v>1</v>
      </c>
      <c r="J59" s="10" t="str">
        <f t="shared" si="1"/>
        <v>일치</v>
      </c>
    </row>
  </sheetData>
  <mergeCells count="2">
    <mergeCell ref="A1:J1"/>
    <mergeCell ref="A2:J2"/>
  </mergeCells>
  <phoneticPr fontId="8" type="noConversion"/>
  <conditionalFormatting sqref="J5:J59">
    <cfRule type="containsText" dxfId="5" priority="1" operator="containsText" text="확인 필요"/>
    <cfRule type="containsText" dxfId="4" priority="2" operator="containsText" text="일치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97"/>
  <sheetViews>
    <sheetView showGridLines="0" workbookViewId="0">
      <pane ySplit="4" topLeftCell="A14" activePane="bottomLeft" state="frozen"/>
      <selection pane="bottomLeft" sqref="A1:U1"/>
    </sheetView>
  </sheetViews>
  <sheetFormatPr defaultRowHeight="13.8"/>
  <cols>
    <col min="1" max="1" width="23.69921875" customWidth="1"/>
    <col min="2" max="2" width="8.09765625" customWidth="1"/>
    <col min="3" max="3" width="8.69921875" customWidth="1"/>
    <col min="4" max="4" width="6.8984375" customWidth="1"/>
    <col min="5" max="5" width="8.69921875" customWidth="1"/>
    <col min="6" max="6" width="16.19921875" customWidth="1"/>
    <col min="7" max="7" width="29.3984375" customWidth="1"/>
    <col min="8" max="9" width="9.3984375" customWidth="1"/>
    <col min="10" max="10" width="11.19921875" customWidth="1"/>
    <col min="11" max="11" width="15.69921875" bestFit="1" customWidth="1"/>
    <col min="12" max="12" width="13.69921875" bestFit="1" customWidth="1"/>
    <col min="13" max="13" width="17.59765625" bestFit="1" customWidth="1"/>
    <col min="14" max="14" width="13" bestFit="1" customWidth="1"/>
    <col min="15" max="15" width="11.8984375" customWidth="1"/>
    <col min="16" max="16" width="15" customWidth="1"/>
    <col min="17" max="17" width="41.19921875" customWidth="1"/>
    <col min="18" max="19" width="19.3984375" customWidth="1"/>
    <col min="20" max="21" width="45" customWidth="1"/>
  </cols>
  <sheetData>
    <row r="1" spans="1:21" ht="30" customHeight="1">
      <c r="A1" s="22" t="s">
        <v>98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5.6" customHeight="1">
      <c r="A2" s="30" t="s">
        <v>99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4" spans="1:21" ht="28.05" customHeight="1">
      <c r="A4" s="1" t="s">
        <v>2</v>
      </c>
      <c r="B4" s="1" t="s">
        <v>3</v>
      </c>
      <c r="C4" s="1" t="s">
        <v>26</v>
      </c>
      <c r="D4" s="1" t="s">
        <v>100</v>
      </c>
      <c r="E4" s="1" t="s">
        <v>27</v>
      </c>
      <c r="F4" s="1" t="s">
        <v>28</v>
      </c>
      <c r="G4" s="1" t="s">
        <v>101</v>
      </c>
      <c r="H4" s="1" t="s">
        <v>7</v>
      </c>
      <c r="I4" s="1" t="s">
        <v>8</v>
      </c>
      <c r="J4" s="1" t="s">
        <v>9</v>
      </c>
      <c r="K4" s="1" t="s">
        <v>102</v>
      </c>
      <c r="L4" s="1" t="s">
        <v>103</v>
      </c>
      <c r="M4" s="1" t="s">
        <v>104</v>
      </c>
      <c r="N4" s="1" t="s">
        <v>35</v>
      </c>
      <c r="O4" s="1" t="s">
        <v>36</v>
      </c>
      <c r="P4" s="1" t="s">
        <v>105</v>
      </c>
      <c r="Q4" s="1" t="s">
        <v>106</v>
      </c>
      <c r="R4" s="1" t="s">
        <v>107</v>
      </c>
      <c r="S4" s="1" t="s">
        <v>108</v>
      </c>
      <c r="T4" s="1" t="s">
        <v>109</v>
      </c>
      <c r="U4" s="1" t="s">
        <v>110</v>
      </c>
    </row>
    <row r="5" spans="1:21" ht="19.95" customHeight="1">
      <c r="A5" s="2" t="s">
        <v>15</v>
      </c>
      <c r="B5" s="8" t="s">
        <v>13</v>
      </c>
      <c r="C5" s="8" t="s">
        <v>111</v>
      </c>
      <c r="D5" s="8"/>
      <c r="E5" s="8" t="s">
        <v>40</v>
      </c>
      <c r="F5" s="8" t="s">
        <v>41</v>
      </c>
      <c r="G5" s="2" t="s">
        <v>40</v>
      </c>
      <c r="H5" s="5">
        <v>36000</v>
      </c>
      <c r="I5" s="5">
        <v>36000</v>
      </c>
      <c r="J5" s="5">
        <v>36000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8" t="s">
        <v>112</v>
      </c>
      <c r="Q5" s="2"/>
      <c r="R5" s="2" t="s">
        <v>113</v>
      </c>
      <c r="S5" s="2" t="s">
        <v>114</v>
      </c>
      <c r="T5" s="2" t="s">
        <v>115</v>
      </c>
      <c r="U5" s="2" t="s">
        <v>116</v>
      </c>
    </row>
    <row r="6" spans="1:21" ht="19.95" customHeight="1">
      <c r="A6" s="3" t="s">
        <v>15</v>
      </c>
      <c r="B6" s="9" t="s">
        <v>13</v>
      </c>
      <c r="C6" s="9" t="s">
        <v>111</v>
      </c>
      <c r="D6" s="9"/>
      <c r="E6" s="9" t="s">
        <v>42</v>
      </c>
      <c r="F6" s="9" t="s">
        <v>43</v>
      </c>
      <c r="G6" s="3" t="s">
        <v>42</v>
      </c>
      <c r="H6" s="6">
        <v>18000</v>
      </c>
      <c r="I6" s="6">
        <v>18000</v>
      </c>
      <c r="J6" s="6">
        <v>18000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9" t="s">
        <v>112</v>
      </c>
      <c r="Q6" s="3"/>
      <c r="R6" s="3" t="s">
        <v>117</v>
      </c>
      <c r="S6" s="3" t="s">
        <v>118</v>
      </c>
      <c r="T6" s="3" t="s">
        <v>119</v>
      </c>
      <c r="U6" s="3" t="s">
        <v>120</v>
      </c>
    </row>
    <row r="7" spans="1:21" ht="19.95" customHeight="1">
      <c r="A7" s="3" t="s">
        <v>15</v>
      </c>
      <c r="B7" s="9" t="s">
        <v>13</v>
      </c>
      <c r="C7" s="9" t="s">
        <v>111</v>
      </c>
      <c r="D7" s="9"/>
      <c r="E7" s="9" t="s">
        <v>44</v>
      </c>
      <c r="F7" s="9" t="s">
        <v>45</v>
      </c>
      <c r="G7" s="3" t="s">
        <v>44</v>
      </c>
      <c r="H7" s="6">
        <v>18000</v>
      </c>
      <c r="I7" s="6">
        <v>18000</v>
      </c>
      <c r="J7" s="6">
        <v>18000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9" t="s">
        <v>112</v>
      </c>
      <c r="Q7" s="3"/>
      <c r="R7" s="3" t="s">
        <v>117</v>
      </c>
      <c r="S7" s="3" t="s">
        <v>118</v>
      </c>
      <c r="T7" s="3" t="s">
        <v>121</v>
      </c>
      <c r="U7" s="3" t="s">
        <v>122</v>
      </c>
    </row>
    <row r="8" spans="1:21" ht="19.95" customHeight="1">
      <c r="A8" s="3" t="s">
        <v>15</v>
      </c>
      <c r="B8" s="9" t="s">
        <v>13</v>
      </c>
      <c r="C8" s="9" t="s">
        <v>111</v>
      </c>
      <c r="D8" s="9"/>
      <c r="E8" s="9" t="s">
        <v>56</v>
      </c>
      <c r="F8" s="9" t="s">
        <v>57</v>
      </c>
      <c r="G8" s="3" t="s">
        <v>56</v>
      </c>
      <c r="H8" s="6">
        <v>27000</v>
      </c>
      <c r="I8" s="6">
        <v>27000</v>
      </c>
      <c r="J8" s="6">
        <v>27000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9" t="s">
        <v>112</v>
      </c>
      <c r="Q8" s="3"/>
      <c r="R8" s="3" t="s">
        <v>123</v>
      </c>
      <c r="S8" s="3" t="s">
        <v>124</v>
      </c>
      <c r="T8" s="3" t="s">
        <v>125</v>
      </c>
      <c r="U8" s="3" t="s">
        <v>126</v>
      </c>
    </row>
    <row r="9" spans="1:21" ht="19.95" customHeight="1">
      <c r="A9" s="3" t="s">
        <v>15</v>
      </c>
      <c r="B9" s="9" t="s">
        <v>13</v>
      </c>
      <c r="C9" s="9" t="s">
        <v>111</v>
      </c>
      <c r="D9" s="9"/>
      <c r="E9" s="9" t="s">
        <v>58</v>
      </c>
      <c r="F9" s="9" t="s">
        <v>59</v>
      </c>
      <c r="G9" s="3" t="s">
        <v>58</v>
      </c>
      <c r="H9" s="6">
        <v>36000</v>
      </c>
      <c r="I9" s="6">
        <v>36000</v>
      </c>
      <c r="J9" s="6">
        <v>36000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9" t="s">
        <v>112</v>
      </c>
      <c r="Q9" s="3"/>
      <c r="R9" s="3" t="s">
        <v>113</v>
      </c>
      <c r="S9" s="3" t="s">
        <v>114</v>
      </c>
      <c r="T9" s="3" t="s">
        <v>127</v>
      </c>
      <c r="U9" s="3" t="s">
        <v>128</v>
      </c>
    </row>
    <row r="10" spans="1:21" ht="19.95" customHeight="1">
      <c r="A10" s="3" t="s">
        <v>15</v>
      </c>
      <c r="B10" s="9" t="s">
        <v>13</v>
      </c>
      <c r="C10" s="9" t="s">
        <v>111</v>
      </c>
      <c r="D10" s="9"/>
      <c r="E10" s="9" t="s">
        <v>64</v>
      </c>
      <c r="F10" s="9" t="s">
        <v>65</v>
      </c>
      <c r="G10" s="3" t="s">
        <v>64</v>
      </c>
      <c r="H10" s="6">
        <v>90000</v>
      </c>
      <c r="I10" s="6">
        <v>90000</v>
      </c>
      <c r="J10" s="6">
        <v>90000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9" t="s">
        <v>112</v>
      </c>
      <c r="Q10" s="3"/>
      <c r="R10" s="3" t="s">
        <v>129</v>
      </c>
      <c r="S10" s="3" t="s">
        <v>130</v>
      </c>
      <c r="T10" s="3" t="s">
        <v>131</v>
      </c>
      <c r="U10" s="3" t="s">
        <v>132</v>
      </c>
    </row>
    <row r="11" spans="1:21" ht="19.95" customHeight="1">
      <c r="A11" s="3" t="s">
        <v>15</v>
      </c>
      <c r="B11" s="9" t="s">
        <v>13</v>
      </c>
      <c r="C11" s="9" t="s">
        <v>111</v>
      </c>
      <c r="D11" s="9"/>
      <c r="E11" s="9" t="s">
        <v>66</v>
      </c>
      <c r="F11" s="9" t="s">
        <v>67</v>
      </c>
      <c r="G11" s="3" t="s">
        <v>66</v>
      </c>
      <c r="H11" s="6">
        <v>36000</v>
      </c>
      <c r="I11" s="6">
        <v>36000</v>
      </c>
      <c r="J11" s="6">
        <v>36000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9" t="s">
        <v>112</v>
      </c>
      <c r="Q11" s="3"/>
      <c r="R11" s="3" t="s">
        <v>113</v>
      </c>
      <c r="S11" s="3" t="s">
        <v>114</v>
      </c>
      <c r="T11" s="3" t="s">
        <v>133</v>
      </c>
      <c r="U11" s="3" t="s">
        <v>134</v>
      </c>
    </row>
    <row r="12" spans="1:21" ht="19.95" customHeight="1">
      <c r="A12" s="3" t="s">
        <v>15</v>
      </c>
      <c r="B12" s="9" t="s">
        <v>13</v>
      </c>
      <c r="C12" s="9" t="s">
        <v>111</v>
      </c>
      <c r="D12" s="9"/>
      <c r="E12" s="9" t="s">
        <v>68</v>
      </c>
      <c r="F12" s="9" t="s">
        <v>69</v>
      </c>
      <c r="G12" s="3" t="s">
        <v>68</v>
      </c>
      <c r="H12" s="6">
        <v>36000</v>
      </c>
      <c r="I12" s="6">
        <v>36000</v>
      </c>
      <c r="J12" s="6">
        <v>36000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9" t="s">
        <v>112</v>
      </c>
      <c r="Q12" s="3"/>
      <c r="R12" s="3" t="s">
        <v>113</v>
      </c>
      <c r="S12" s="3" t="s">
        <v>114</v>
      </c>
      <c r="T12" s="3" t="s">
        <v>135</v>
      </c>
      <c r="U12" s="3" t="s">
        <v>136</v>
      </c>
    </row>
    <row r="13" spans="1:21" ht="19.95" customHeight="1">
      <c r="A13" s="3" t="s">
        <v>15</v>
      </c>
      <c r="B13" s="9" t="s">
        <v>13</v>
      </c>
      <c r="C13" s="9" t="s">
        <v>111</v>
      </c>
      <c r="D13" s="9"/>
      <c r="E13" s="9" t="s">
        <v>74</v>
      </c>
      <c r="F13" s="9" t="s">
        <v>75</v>
      </c>
      <c r="G13" s="3" t="s">
        <v>74</v>
      </c>
      <c r="H13" s="6">
        <v>36000</v>
      </c>
      <c r="I13" s="6">
        <v>36000</v>
      </c>
      <c r="J13" s="6">
        <v>36000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9" t="s">
        <v>112</v>
      </c>
      <c r="Q13" s="3"/>
      <c r="R13" s="3" t="s">
        <v>113</v>
      </c>
      <c r="S13" s="3" t="s">
        <v>114</v>
      </c>
      <c r="T13" s="3" t="s">
        <v>137</v>
      </c>
      <c r="U13" s="3" t="s">
        <v>138</v>
      </c>
    </row>
    <row r="14" spans="1:21" ht="19.95" customHeight="1">
      <c r="A14" s="3" t="s">
        <v>15</v>
      </c>
      <c r="B14" s="9" t="s">
        <v>13</v>
      </c>
      <c r="C14" s="9" t="s">
        <v>111</v>
      </c>
      <c r="D14" s="9"/>
      <c r="E14" s="9" t="s">
        <v>80</v>
      </c>
      <c r="F14" s="9" t="s">
        <v>81</v>
      </c>
      <c r="G14" s="3" t="s">
        <v>80</v>
      </c>
      <c r="H14" s="6">
        <v>9000</v>
      </c>
      <c r="I14" s="6">
        <v>9000</v>
      </c>
      <c r="J14" s="6">
        <v>9000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9" t="s">
        <v>112</v>
      </c>
      <c r="Q14" s="3"/>
      <c r="R14" s="3" t="s">
        <v>139</v>
      </c>
      <c r="S14" s="3" t="s">
        <v>140</v>
      </c>
      <c r="T14" s="3" t="s">
        <v>141</v>
      </c>
      <c r="U14" s="3" t="s">
        <v>142</v>
      </c>
    </row>
    <row r="15" spans="1:21" ht="19.95" customHeight="1">
      <c r="A15" s="3" t="s">
        <v>15</v>
      </c>
      <c r="B15" s="9" t="s">
        <v>13</v>
      </c>
      <c r="C15" s="9" t="s">
        <v>111</v>
      </c>
      <c r="D15" s="9"/>
      <c r="E15" s="9" t="s">
        <v>82</v>
      </c>
      <c r="F15" s="9" t="s">
        <v>83</v>
      </c>
      <c r="G15" s="3" t="s">
        <v>82</v>
      </c>
      <c r="H15" s="6">
        <v>9000</v>
      </c>
      <c r="I15" s="6">
        <v>9000</v>
      </c>
      <c r="J15" s="6">
        <v>9000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9" t="s">
        <v>112</v>
      </c>
      <c r="Q15" s="3"/>
      <c r="R15" s="3" t="s">
        <v>139</v>
      </c>
      <c r="S15" s="3" t="s">
        <v>140</v>
      </c>
      <c r="T15" s="3" t="s">
        <v>143</v>
      </c>
      <c r="U15" s="3" t="s">
        <v>144</v>
      </c>
    </row>
    <row r="16" spans="1:21" ht="19.95" customHeight="1">
      <c r="A16" s="3" t="s">
        <v>15</v>
      </c>
      <c r="B16" s="9" t="s">
        <v>13</v>
      </c>
      <c r="C16" s="9" t="s">
        <v>111</v>
      </c>
      <c r="D16" s="9"/>
      <c r="E16" s="9" t="s">
        <v>84</v>
      </c>
      <c r="F16" s="9" t="s">
        <v>85</v>
      </c>
      <c r="G16" s="3" t="s">
        <v>84</v>
      </c>
      <c r="H16" s="6">
        <v>9000</v>
      </c>
      <c r="I16" s="6">
        <v>9000</v>
      </c>
      <c r="J16" s="6">
        <v>9000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9" t="s">
        <v>112</v>
      </c>
      <c r="Q16" s="3"/>
      <c r="R16" s="3" t="s">
        <v>139</v>
      </c>
      <c r="S16" s="3" t="s">
        <v>140</v>
      </c>
      <c r="T16" s="3" t="s">
        <v>145</v>
      </c>
      <c r="U16" s="3" t="s">
        <v>146</v>
      </c>
    </row>
    <row r="17" spans="1:21" ht="19.95" customHeight="1">
      <c r="A17" s="3" t="s">
        <v>15</v>
      </c>
      <c r="B17" s="9" t="s">
        <v>13</v>
      </c>
      <c r="C17" s="9" t="s">
        <v>111</v>
      </c>
      <c r="D17" s="9"/>
      <c r="E17" s="9" t="s">
        <v>86</v>
      </c>
      <c r="F17" s="9" t="s">
        <v>87</v>
      </c>
      <c r="G17" s="3" t="s">
        <v>86</v>
      </c>
      <c r="H17" s="6">
        <v>45000</v>
      </c>
      <c r="I17" s="6">
        <v>45000</v>
      </c>
      <c r="J17" s="6">
        <v>45000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9" t="s">
        <v>112</v>
      </c>
      <c r="Q17" s="3"/>
      <c r="R17" s="3" t="s">
        <v>147</v>
      </c>
      <c r="S17" s="3" t="s">
        <v>148</v>
      </c>
      <c r="T17" s="3" t="s">
        <v>149</v>
      </c>
      <c r="U17" s="3" t="s">
        <v>150</v>
      </c>
    </row>
    <row r="18" spans="1:21" ht="19.95" customHeight="1">
      <c r="A18" s="3" t="s">
        <v>15</v>
      </c>
      <c r="B18" s="9" t="s">
        <v>13</v>
      </c>
      <c r="C18" s="9" t="s">
        <v>111</v>
      </c>
      <c r="D18" s="9"/>
      <c r="E18" s="9" t="s">
        <v>92</v>
      </c>
      <c r="F18" s="9" t="s">
        <v>93</v>
      </c>
      <c r="G18" s="3" t="s">
        <v>92</v>
      </c>
      <c r="H18" s="6">
        <v>18000</v>
      </c>
      <c r="I18" s="6">
        <v>18000</v>
      </c>
      <c r="J18" s="6">
        <v>18000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9" t="s">
        <v>112</v>
      </c>
      <c r="Q18" s="3"/>
      <c r="R18" s="3" t="s">
        <v>117</v>
      </c>
      <c r="S18" s="3" t="s">
        <v>118</v>
      </c>
      <c r="T18" s="3" t="s">
        <v>151</v>
      </c>
      <c r="U18" s="3" t="s">
        <v>152</v>
      </c>
    </row>
    <row r="19" spans="1:21" ht="19.95" customHeight="1">
      <c r="A19" s="3" t="s">
        <v>12</v>
      </c>
      <c r="B19" s="9" t="s">
        <v>13</v>
      </c>
      <c r="C19" s="9" t="s">
        <v>153</v>
      </c>
      <c r="D19" s="9" t="s">
        <v>154</v>
      </c>
      <c r="E19" s="9" t="s">
        <v>38</v>
      </c>
      <c r="F19" s="9" t="s">
        <v>39</v>
      </c>
      <c r="G19" s="3" t="s">
        <v>155</v>
      </c>
      <c r="H19" s="6">
        <v>420</v>
      </c>
      <c r="I19" s="6">
        <v>420</v>
      </c>
      <c r="J19" s="6">
        <v>420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9" t="s">
        <v>112</v>
      </c>
      <c r="Q19" s="3"/>
      <c r="R19" s="3" t="s">
        <v>156</v>
      </c>
      <c r="S19" s="3" t="s">
        <v>157</v>
      </c>
      <c r="T19" s="3" t="s">
        <v>158</v>
      </c>
      <c r="U19" s="3" t="s">
        <v>159</v>
      </c>
    </row>
    <row r="20" spans="1:21" ht="19.95" customHeight="1">
      <c r="A20" s="3" t="s">
        <v>12</v>
      </c>
      <c r="B20" s="9" t="s">
        <v>13</v>
      </c>
      <c r="C20" s="9" t="s">
        <v>153</v>
      </c>
      <c r="D20" s="9" t="s">
        <v>154</v>
      </c>
      <c r="E20" s="9" t="s">
        <v>40</v>
      </c>
      <c r="F20" s="9" t="s">
        <v>41</v>
      </c>
      <c r="G20" s="3" t="s">
        <v>160</v>
      </c>
      <c r="H20" s="6">
        <v>1718</v>
      </c>
      <c r="I20" s="6">
        <v>1718</v>
      </c>
      <c r="J20" s="6">
        <v>1718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9" t="s">
        <v>112</v>
      </c>
      <c r="Q20" s="3"/>
      <c r="R20" s="3" t="s">
        <v>161</v>
      </c>
      <c r="S20" s="3" t="s">
        <v>162</v>
      </c>
      <c r="T20" s="3" t="s">
        <v>163</v>
      </c>
      <c r="U20" s="3" t="s">
        <v>164</v>
      </c>
    </row>
    <row r="21" spans="1:21" ht="19.95" customHeight="1">
      <c r="A21" s="3" t="s">
        <v>12</v>
      </c>
      <c r="B21" s="9" t="s">
        <v>13</v>
      </c>
      <c r="C21" s="9" t="s">
        <v>165</v>
      </c>
      <c r="D21" s="9" t="s">
        <v>166</v>
      </c>
      <c r="E21" s="9" t="s">
        <v>40</v>
      </c>
      <c r="F21" s="9" t="s">
        <v>41</v>
      </c>
      <c r="G21" s="3" t="s">
        <v>167</v>
      </c>
      <c r="H21" s="6">
        <v>397</v>
      </c>
      <c r="I21" s="6">
        <v>397</v>
      </c>
      <c r="J21" s="6">
        <v>397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9" t="s">
        <v>112</v>
      </c>
      <c r="Q21" s="3"/>
      <c r="R21" s="3" t="s">
        <v>168</v>
      </c>
      <c r="S21" s="3" t="s">
        <v>169</v>
      </c>
      <c r="T21" s="3" t="s">
        <v>170</v>
      </c>
      <c r="U21" s="3" t="s">
        <v>171</v>
      </c>
    </row>
    <row r="22" spans="1:21" ht="19.95" customHeight="1">
      <c r="A22" s="3" t="s">
        <v>12</v>
      </c>
      <c r="B22" s="9" t="s">
        <v>13</v>
      </c>
      <c r="C22" s="9" t="s">
        <v>153</v>
      </c>
      <c r="D22" s="9" t="s">
        <v>154</v>
      </c>
      <c r="E22" s="9" t="s">
        <v>42</v>
      </c>
      <c r="F22" s="9" t="s">
        <v>43</v>
      </c>
      <c r="G22" s="3" t="s">
        <v>172</v>
      </c>
      <c r="H22" s="6">
        <v>1250</v>
      </c>
      <c r="I22" s="6">
        <v>1250</v>
      </c>
      <c r="J22" s="6">
        <v>1250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9" t="s">
        <v>112</v>
      </c>
      <c r="Q22" s="3"/>
      <c r="R22" s="3" t="s">
        <v>173</v>
      </c>
      <c r="S22" s="3" t="s">
        <v>174</v>
      </c>
      <c r="T22" s="3" t="s">
        <v>175</v>
      </c>
      <c r="U22" s="3" t="s">
        <v>176</v>
      </c>
    </row>
    <row r="23" spans="1:21" ht="19.95" customHeight="1">
      <c r="A23" s="3" t="s">
        <v>12</v>
      </c>
      <c r="B23" s="9" t="s">
        <v>13</v>
      </c>
      <c r="C23" s="9" t="s">
        <v>165</v>
      </c>
      <c r="D23" s="9" t="s">
        <v>166</v>
      </c>
      <c r="E23" s="9" t="s">
        <v>42</v>
      </c>
      <c r="F23" s="9" t="s">
        <v>43</v>
      </c>
      <c r="G23" s="3" t="s">
        <v>177</v>
      </c>
      <c r="H23" s="6">
        <v>744</v>
      </c>
      <c r="I23" s="6">
        <v>744</v>
      </c>
      <c r="J23" s="6">
        <v>744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9" t="s">
        <v>112</v>
      </c>
      <c r="Q23" s="3"/>
      <c r="R23" s="3" t="s">
        <v>178</v>
      </c>
      <c r="S23" s="3" t="s">
        <v>179</v>
      </c>
      <c r="T23" s="3" t="s">
        <v>180</v>
      </c>
      <c r="U23" s="3" t="s">
        <v>181</v>
      </c>
    </row>
    <row r="24" spans="1:21" ht="19.95" customHeight="1">
      <c r="A24" s="3" t="s">
        <v>12</v>
      </c>
      <c r="B24" s="9" t="s">
        <v>13</v>
      </c>
      <c r="C24" s="9" t="s">
        <v>153</v>
      </c>
      <c r="D24" s="9" t="s">
        <v>154</v>
      </c>
      <c r="E24" s="9" t="s">
        <v>44</v>
      </c>
      <c r="F24" s="9" t="s">
        <v>45</v>
      </c>
      <c r="G24" s="3" t="s">
        <v>182</v>
      </c>
      <c r="H24" s="6">
        <v>1349</v>
      </c>
      <c r="I24" s="6">
        <v>1349</v>
      </c>
      <c r="J24" s="6">
        <v>1349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9" t="s">
        <v>112</v>
      </c>
      <c r="Q24" s="3"/>
      <c r="R24" s="3" t="s">
        <v>183</v>
      </c>
      <c r="S24" s="3" t="s">
        <v>184</v>
      </c>
      <c r="T24" s="3" t="s">
        <v>185</v>
      </c>
      <c r="U24" s="3" t="s">
        <v>186</v>
      </c>
    </row>
    <row r="25" spans="1:21" ht="19.95" customHeight="1">
      <c r="A25" s="3" t="s">
        <v>12</v>
      </c>
      <c r="B25" s="9" t="s">
        <v>13</v>
      </c>
      <c r="C25" s="9" t="s">
        <v>165</v>
      </c>
      <c r="D25" s="9" t="s">
        <v>166</v>
      </c>
      <c r="E25" s="9" t="s">
        <v>44</v>
      </c>
      <c r="F25" s="9" t="s">
        <v>45</v>
      </c>
      <c r="G25" s="3" t="s">
        <v>187</v>
      </c>
      <c r="H25" s="6">
        <v>510</v>
      </c>
      <c r="I25" s="6">
        <v>510</v>
      </c>
      <c r="J25" s="6">
        <v>510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9" t="s">
        <v>112</v>
      </c>
      <c r="Q25" s="3"/>
      <c r="R25" s="3" t="s">
        <v>188</v>
      </c>
      <c r="S25" s="3" t="s">
        <v>189</v>
      </c>
      <c r="T25" s="3" t="s">
        <v>190</v>
      </c>
      <c r="U25" s="3" t="s">
        <v>191</v>
      </c>
    </row>
    <row r="26" spans="1:21" ht="19.95" customHeight="1">
      <c r="A26" s="3" t="s">
        <v>12</v>
      </c>
      <c r="B26" s="9" t="s">
        <v>13</v>
      </c>
      <c r="C26" s="9" t="s">
        <v>153</v>
      </c>
      <c r="D26" s="9" t="s">
        <v>154</v>
      </c>
      <c r="E26" s="9" t="s">
        <v>46</v>
      </c>
      <c r="F26" s="9" t="s">
        <v>47</v>
      </c>
      <c r="G26" s="3" t="s">
        <v>192</v>
      </c>
      <c r="H26" s="6">
        <v>730</v>
      </c>
      <c r="I26" s="6">
        <v>730</v>
      </c>
      <c r="J26" s="6">
        <v>730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9" t="s">
        <v>112</v>
      </c>
      <c r="Q26" s="3"/>
      <c r="R26" s="3" t="s">
        <v>193</v>
      </c>
      <c r="S26" s="3" t="s">
        <v>194</v>
      </c>
      <c r="T26" s="3" t="s">
        <v>195</v>
      </c>
      <c r="U26" s="3" t="s">
        <v>196</v>
      </c>
    </row>
    <row r="27" spans="1:21" ht="19.95" customHeight="1">
      <c r="A27" s="3" t="s">
        <v>12</v>
      </c>
      <c r="B27" s="9" t="s">
        <v>13</v>
      </c>
      <c r="C27" s="9" t="s">
        <v>165</v>
      </c>
      <c r="D27" s="9" t="s">
        <v>166</v>
      </c>
      <c r="E27" s="9" t="s">
        <v>46</v>
      </c>
      <c r="F27" s="9" t="s">
        <v>47</v>
      </c>
      <c r="G27" s="3" t="s">
        <v>197</v>
      </c>
      <c r="H27" s="6">
        <v>41</v>
      </c>
      <c r="I27" s="6">
        <v>41</v>
      </c>
      <c r="J27" s="6">
        <v>41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9" t="s">
        <v>112</v>
      </c>
      <c r="Q27" s="3"/>
      <c r="R27" s="3" t="s">
        <v>198</v>
      </c>
      <c r="S27" s="3" t="s">
        <v>199</v>
      </c>
      <c r="T27" s="3" t="s">
        <v>200</v>
      </c>
      <c r="U27" s="3" t="s">
        <v>201</v>
      </c>
    </row>
    <row r="28" spans="1:21" ht="19.95" customHeight="1">
      <c r="A28" s="3" t="s">
        <v>12</v>
      </c>
      <c r="B28" s="9" t="s">
        <v>13</v>
      </c>
      <c r="C28" s="9" t="s">
        <v>153</v>
      </c>
      <c r="D28" s="9" t="s">
        <v>154</v>
      </c>
      <c r="E28" s="9" t="s">
        <v>48</v>
      </c>
      <c r="F28" s="9" t="s">
        <v>49</v>
      </c>
      <c r="G28" s="3" t="s">
        <v>202</v>
      </c>
      <c r="H28" s="6">
        <v>14</v>
      </c>
      <c r="I28" s="6">
        <v>14</v>
      </c>
      <c r="J28" s="6">
        <v>14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9" t="s">
        <v>112</v>
      </c>
      <c r="Q28" s="3"/>
      <c r="R28" s="3" t="s">
        <v>203</v>
      </c>
      <c r="S28" s="3" t="s">
        <v>204</v>
      </c>
      <c r="T28" s="3" t="s">
        <v>205</v>
      </c>
      <c r="U28" s="3" t="s">
        <v>206</v>
      </c>
    </row>
    <row r="29" spans="1:21" ht="19.95" customHeight="1">
      <c r="A29" s="3" t="s">
        <v>12</v>
      </c>
      <c r="B29" s="9" t="s">
        <v>13</v>
      </c>
      <c r="C29" s="9" t="s">
        <v>153</v>
      </c>
      <c r="D29" s="9" t="s">
        <v>154</v>
      </c>
      <c r="E29" s="9" t="s">
        <v>50</v>
      </c>
      <c r="F29" s="9" t="s">
        <v>51</v>
      </c>
      <c r="G29" s="3" t="s">
        <v>207</v>
      </c>
      <c r="H29" s="6">
        <v>34</v>
      </c>
      <c r="I29" s="6">
        <v>34</v>
      </c>
      <c r="J29" s="6">
        <v>34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9" t="s">
        <v>112</v>
      </c>
      <c r="Q29" s="3"/>
      <c r="R29" s="3" t="s">
        <v>208</v>
      </c>
      <c r="S29" s="3" t="s">
        <v>209</v>
      </c>
      <c r="T29" s="3" t="s">
        <v>210</v>
      </c>
      <c r="U29" s="3" t="s">
        <v>211</v>
      </c>
    </row>
    <row r="30" spans="1:21" ht="19.95" customHeight="1">
      <c r="A30" s="3" t="s">
        <v>12</v>
      </c>
      <c r="B30" s="9" t="s">
        <v>13</v>
      </c>
      <c r="C30" s="9" t="s">
        <v>153</v>
      </c>
      <c r="D30" s="9" t="s">
        <v>154</v>
      </c>
      <c r="E30" s="9" t="s">
        <v>52</v>
      </c>
      <c r="F30" s="9" t="s">
        <v>53</v>
      </c>
      <c r="G30" s="3" t="s">
        <v>212</v>
      </c>
      <c r="H30" s="6">
        <v>285</v>
      </c>
      <c r="I30" s="6">
        <v>285</v>
      </c>
      <c r="J30" s="6">
        <v>285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9" t="s">
        <v>112</v>
      </c>
      <c r="Q30" s="3"/>
      <c r="R30" s="3" t="s">
        <v>213</v>
      </c>
      <c r="S30" s="3" t="s">
        <v>214</v>
      </c>
      <c r="T30" s="3" t="s">
        <v>215</v>
      </c>
      <c r="U30" s="3" t="s">
        <v>216</v>
      </c>
    </row>
    <row r="31" spans="1:21" ht="19.95" customHeight="1">
      <c r="A31" s="3" t="s">
        <v>12</v>
      </c>
      <c r="B31" s="9" t="s">
        <v>13</v>
      </c>
      <c r="C31" s="9" t="s">
        <v>153</v>
      </c>
      <c r="D31" s="9" t="s">
        <v>154</v>
      </c>
      <c r="E31" s="9" t="s">
        <v>54</v>
      </c>
      <c r="F31" s="9" t="s">
        <v>55</v>
      </c>
      <c r="G31" s="3" t="s">
        <v>217</v>
      </c>
      <c r="H31" s="6">
        <v>303</v>
      </c>
      <c r="I31" s="6">
        <v>303</v>
      </c>
      <c r="J31" s="6">
        <v>303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9" t="s">
        <v>112</v>
      </c>
      <c r="Q31" s="3"/>
      <c r="R31" s="3" t="s">
        <v>218</v>
      </c>
      <c r="S31" s="3" t="s">
        <v>219</v>
      </c>
      <c r="T31" s="3" t="s">
        <v>220</v>
      </c>
      <c r="U31" s="3" t="s">
        <v>221</v>
      </c>
    </row>
    <row r="32" spans="1:21" ht="19.95" customHeight="1">
      <c r="A32" s="3" t="s">
        <v>12</v>
      </c>
      <c r="B32" s="9" t="s">
        <v>13</v>
      </c>
      <c r="C32" s="9" t="s">
        <v>153</v>
      </c>
      <c r="D32" s="9" t="s">
        <v>154</v>
      </c>
      <c r="E32" s="9" t="s">
        <v>56</v>
      </c>
      <c r="F32" s="9" t="s">
        <v>57</v>
      </c>
      <c r="G32" s="3" t="s">
        <v>222</v>
      </c>
      <c r="H32" s="6">
        <v>2567</v>
      </c>
      <c r="I32" s="6">
        <v>2567</v>
      </c>
      <c r="J32" s="6">
        <v>2567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9" t="s">
        <v>112</v>
      </c>
      <c r="Q32" s="3"/>
      <c r="R32" s="3" t="s">
        <v>223</v>
      </c>
      <c r="S32" s="3" t="s">
        <v>224</v>
      </c>
      <c r="T32" s="3" t="s">
        <v>225</v>
      </c>
      <c r="U32" s="3" t="s">
        <v>226</v>
      </c>
    </row>
    <row r="33" spans="1:21" ht="19.95" customHeight="1">
      <c r="A33" s="3" t="s">
        <v>12</v>
      </c>
      <c r="B33" s="9" t="s">
        <v>13</v>
      </c>
      <c r="C33" s="9" t="s">
        <v>165</v>
      </c>
      <c r="D33" s="9" t="s">
        <v>166</v>
      </c>
      <c r="E33" s="9" t="s">
        <v>56</v>
      </c>
      <c r="F33" s="9" t="s">
        <v>57</v>
      </c>
      <c r="G33" s="3" t="s">
        <v>227</v>
      </c>
      <c r="H33" s="6">
        <v>425</v>
      </c>
      <c r="I33" s="6">
        <v>425</v>
      </c>
      <c r="J33" s="6">
        <v>425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9" t="s">
        <v>112</v>
      </c>
      <c r="Q33" s="3"/>
      <c r="R33" s="3" t="s">
        <v>228</v>
      </c>
      <c r="S33" s="3" t="s">
        <v>229</v>
      </c>
      <c r="T33" s="3" t="s">
        <v>230</v>
      </c>
      <c r="U33" s="3" t="s">
        <v>231</v>
      </c>
    </row>
    <row r="34" spans="1:21" ht="19.95" customHeight="1">
      <c r="A34" s="3" t="s">
        <v>12</v>
      </c>
      <c r="B34" s="9" t="s">
        <v>13</v>
      </c>
      <c r="C34" s="9" t="s">
        <v>153</v>
      </c>
      <c r="D34" s="9" t="s">
        <v>154</v>
      </c>
      <c r="E34" s="9" t="s">
        <v>60</v>
      </c>
      <c r="F34" s="9" t="s">
        <v>61</v>
      </c>
      <c r="G34" s="3" t="s">
        <v>232</v>
      </c>
      <c r="H34" s="6">
        <v>1107</v>
      </c>
      <c r="I34" s="6">
        <v>1107</v>
      </c>
      <c r="J34" s="6">
        <v>1107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9" t="s">
        <v>112</v>
      </c>
      <c r="Q34" s="3"/>
      <c r="R34" s="3" t="s">
        <v>233</v>
      </c>
      <c r="S34" s="3" t="s">
        <v>234</v>
      </c>
      <c r="T34" s="3" t="s">
        <v>235</v>
      </c>
      <c r="U34" s="3" t="s">
        <v>236</v>
      </c>
    </row>
    <row r="35" spans="1:21" ht="19.95" customHeight="1">
      <c r="A35" s="3" t="s">
        <v>12</v>
      </c>
      <c r="B35" s="9" t="s">
        <v>13</v>
      </c>
      <c r="C35" s="9" t="s">
        <v>153</v>
      </c>
      <c r="D35" s="9" t="s">
        <v>154</v>
      </c>
      <c r="E35" s="9" t="s">
        <v>62</v>
      </c>
      <c r="F35" s="9" t="s">
        <v>63</v>
      </c>
      <c r="G35" s="3" t="s">
        <v>237</v>
      </c>
      <c r="H35" s="6">
        <v>139</v>
      </c>
      <c r="I35" s="6">
        <v>139</v>
      </c>
      <c r="J35" s="6">
        <v>139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9" t="s">
        <v>112</v>
      </c>
      <c r="Q35" s="3"/>
      <c r="R35" s="3" t="s">
        <v>238</v>
      </c>
      <c r="S35" s="3" t="s">
        <v>239</v>
      </c>
      <c r="T35" s="3" t="s">
        <v>240</v>
      </c>
      <c r="U35" s="3" t="s">
        <v>241</v>
      </c>
    </row>
    <row r="36" spans="1:21" ht="19.95" customHeight="1">
      <c r="A36" s="3" t="s">
        <v>12</v>
      </c>
      <c r="B36" s="9" t="s">
        <v>13</v>
      </c>
      <c r="C36" s="9" t="s">
        <v>153</v>
      </c>
      <c r="D36" s="9" t="s">
        <v>154</v>
      </c>
      <c r="E36" s="9" t="s">
        <v>66</v>
      </c>
      <c r="F36" s="9" t="s">
        <v>67</v>
      </c>
      <c r="G36" s="3" t="s">
        <v>242</v>
      </c>
      <c r="H36" s="6">
        <v>1835</v>
      </c>
      <c r="I36" s="6">
        <v>1835</v>
      </c>
      <c r="J36" s="6">
        <v>1835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9" t="s">
        <v>112</v>
      </c>
      <c r="Q36" s="3"/>
      <c r="R36" s="3" t="s">
        <v>243</v>
      </c>
      <c r="S36" s="3" t="s">
        <v>244</v>
      </c>
      <c r="T36" s="3" t="s">
        <v>245</v>
      </c>
      <c r="U36" s="3" t="s">
        <v>246</v>
      </c>
    </row>
    <row r="37" spans="1:21" ht="19.95" customHeight="1">
      <c r="A37" s="3" t="s">
        <v>12</v>
      </c>
      <c r="B37" s="9" t="s">
        <v>13</v>
      </c>
      <c r="C37" s="9" t="s">
        <v>165</v>
      </c>
      <c r="D37" s="9" t="s">
        <v>166</v>
      </c>
      <c r="E37" s="9" t="s">
        <v>66</v>
      </c>
      <c r="F37" s="9" t="s">
        <v>67</v>
      </c>
      <c r="G37" s="3" t="s">
        <v>247</v>
      </c>
      <c r="H37" s="6">
        <v>400</v>
      </c>
      <c r="I37" s="6">
        <v>400</v>
      </c>
      <c r="J37" s="6">
        <v>400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9" t="s">
        <v>112</v>
      </c>
      <c r="Q37" s="3"/>
      <c r="R37" s="3" t="s">
        <v>248</v>
      </c>
      <c r="S37" s="3" t="s">
        <v>249</v>
      </c>
      <c r="T37" s="3" t="s">
        <v>250</v>
      </c>
      <c r="U37" s="3" t="s">
        <v>251</v>
      </c>
    </row>
    <row r="38" spans="1:21" ht="19.95" customHeight="1">
      <c r="A38" s="3" t="s">
        <v>12</v>
      </c>
      <c r="B38" s="9" t="s">
        <v>13</v>
      </c>
      <c r="C38" s="9" t="s">
        <v>153</v>
      </c>
      <c r="D38" s="9" t="s">
        <v>154</v>
      </c>
      <c r="E38" s="9" t="s">
        <v>68</v>
      </c>
      <c r="F38" s="9" t="s">
        <v>69</v>
      </c>
      <c r="G38" s="3" t="s">
        <v>252</v>
      </c>
      <c r="H38" s="6">
        <v>5645</v>
      </c>
      <c r="I38" s="6">
        <v>5645</v>
      </c>
      <c r="J38" s="6">
        <v>5645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9" t="s">
        <v>112</v>
      </c>
      <c r="Q38" s="3"/>
      <c r="R38" s="3" t="s">
        <v>253</v>
      </c>
      <c r="S38" s="3" t="s">
        <v>254</v>
      </c>
      <c r="T38" s="3" t="s">
        <v>255</v>
      </c>
      <c r="U38" s="3" t="s">
        <v>256</v>
      </c>
    </row>
    <row r="39" spans="1:21" ht="19.95" customHeight="1">
      <c r="A39" s="3" t="s">
        <v>12</v>
      </c>
      <c r="B39" s="9" t="s">
        <v>13</v>
      </c>
      <c r="C39" s="9" t="s">
        <v>165</v>
      </c>
      <c r="D39" s="9" t="s">
        <v>166</v>
      </c>
      <c r="E39" s="9" t="s">
        <v>68</v>
      </c>
      <c r="F39" s="9" t="s">
        <v>69</v>
      </c>
      <c r="G39" s="3" t="s">
        <v>257</v>
      </c>
      <c r="H39" s="6">
        <v>400</v>
      </c>
      <c r="I39" s="6">
        <v>400</v>
      </c>
      <c r="J39" s="6">
        <v>400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9" t="s">
        <v>112</v>
      </c>
      <c r="Q39" s="3"/>
      <c r="R39" s="3" t="s">
        <v>248</v>
      </c>
      <c r="S39" s="3" t="s">
        <v>249</v>
      </c>
      <c r="T39" s="3" t="s">
        <v>258</v>
      </c>
      <c r="U39" s="3" t="s">
        <v>259</v>
      </c>
    </row>
    <row r="40" spans="1:21" ht="19.95" customHeight="1">
      <c r="A40" s="3" t="s">
        <v>12</v>
      </c>
      <c r="B40" s="9" t="s">
        <v>13</v>
      </c>
      <c r="C40" s="9" t="s">
        <v>153</v>
      </c>
      <c r="D40" s="9" t="s">
        <v>154</v>
      </c>
      <c r="E40" s="9" t="s">
        <v>70</v>
      </c>
      <c r="F40" s="9" t="s">
        <v>71</v>
      </c>
      <c r="G40" s="3" t="s">
        <v>260</v>
      </c>
      <c r="H40" s="6">
        <v>3724</v>
      </c>
      <c r="I40" s="6">
        <v>3724</v>
      </c>
      <c r="J40" s="6">
        <v>3724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9" t="s">
        <v>112</v>
      </c>
      <c r="Q40" s="3"/>
      <c r="R40" s="3" t="s">
        <v>261</v>
      </c>
      <c r="S40" s="3" t="s">
        <v>262</v>
      </c>
      <c r="T40" s="3" t="s">
        <v>263</v>
      </c>
      <c r="U40" s="3" t="s">
        <v>264</v>
      </c>
    </row>
    <row r="41" spans="1:21" ht="19.95" customHeight="1">
      <c r="A41" s="3" t="s">
        <v>12</v>
      </c>
      <c r="B41" s="9" t="s">
        <v>13</v>
      </c>
      <c r="C41" s="9" t="s">
        <v>165</v>
      </c>
      <c r="D41" s="9" t="s">
        <v>166</v>
      </c>
      <c r="E41" s="9" t="s">
        <v>70</v>
      </c>
      <c r="F41" s="9" t="s">
        <v>71</v>
      </c>
      <c r="G41" s="3" t="s">
        <v>265</v>
      </c>
      <c r="H41" s="6">
        <v>400</v>
      </c>
      <c r="I41" s="6">
        <v>400</v>
      </c>
      <c r="J41" s="6">
        <v>400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9" t="s">
        <v>112</v>
      </c>
      <c r="Q41" s="3"/>
      <c r="R41" s="3" t="s">
        <v>248</v>
      </c>
      <c r="S41" s="3" t="s">
        <v>249</v>
      </c>
      <c r="T41" s="3" t="s">
        <v>266</v>
      </c>
      <c r="U41" s="3" t="s">
        <v>267</v>
      </c>
    </row>
    <row r="42" spans="1:21" ht="19.95" customHeight="1">
      <c r="A42" s="3" t="s">
        <v>12</v>
      </c>
      <c r="B42" s="9" t="s">
        <v>13</v>
      </c>
      <c r="C42" s="9" t="s">
        <v>153</v>
      </c>
      <c r="D42" s="9" t="s">
        <v>154</v>
      </c>
      <c r="E42" s="9" t="s">
        <v>72</v>
      </c>
      <c r="F42" s="9" t="s">
        <v>73</v>
      </c>
      <c r="G42" s="3" t="s">
        <v>268</v>
      </c>
      <c r="H42" s="6">
        <v>426</v>
      </c>
      <c r="I42" s="6">
        <v>426</v>
      </c>
      <c r="J42" s="6">
        <v>426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9" t="s">
        <v>112</v>
      </c>
      <c r="Q42" s="3"/>
      <c r="R42" s="3" t="s">
        <v>269</v>
      </c>
      <c r="S42" s="3" t="s">
        <v>270</v>
      </c>
      <c r="T42" s="3" t="s">
        <v>271</v>
      </c>
      <c r="U42" s="3" t="s">
        <v>272</v>
      </c>
    </row>
    <row r="43" spans="1:21" ht="19.95" customHeight="1">
      <c r="A43" s="3" t="s">
        <v>12</v>
      </c>
      <c r="B43" s="9" t="s">
        <v>13</v>
      </c>
      <c r="C43" s="9" t="s">
        <v>153</v>
      </c>
      <c r="D43" s="9" t="s">
        <v>154</v>
      </c>
      <c r="E43" s="9" t="s">
        <v>74</v>
      </c>
      <c r="F43" s="9" t="s">
        <v>75</v>
      </c>
      <c r="G43" s="3" t="s">
        <v>273</v>
      </c>
      <c r="H43" s="6">
        <v>5395</v>
      </c>
      <c r="I43" s="6">
        <v>5395</v>
      </c>
      <c r="J43" s="6">
        <v>5395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9" t="s">
        <v>112</v>
      </c>
      <c r="Q43" s="3"/>
      <c r="R43" s="3" t="s">
        <v>274</v>
      </c>
      <c r="S43" s="3" t="s">
        <v>275</v>
      </c>
      <c r="T43" s="3" t="s">
        <v>276</v>
      </c>
      <c r="U43" s="3" t="s">
        <v>277</v>
      </c>
    </row>
    <row r="44" spans="1:21" ht="19.95" customHeight="1">
      <c r="A44" s="3" t="s">
        <v>12</v>
      </c>
      <c r="B44" s="9" t="s">
        <v>13</v>
      </c>
      <c r="C44" s="9" t="s">
        <v>165</v>
      </c>
      <c r="D44" s="9" t="s">
        <v>166</v>
      </c>
      <c r="E44" s="9" t="s">
        <v>74</v>
      </c>
      <c r="F44" s="9" t="s">
        <v>75</v>
      </c>
      <c r="G44" s="3" t="s">
        <v>278</v>
      </c>
      <c r="H44" s="6">
        <v>399</v>
      </c>
      <c r="I44" s="6">
        <v>399</v>
      </c>
      <c r="J44" s="6">
        <v>399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9" t="s">
        <v>112</v>
      </c>
      <c r="Q44" s="3"/>
      <c r="R44" s="3" t="s">
        <v>279</v>
      </c>
      <c r="S44" s="3" t="s">
        <v>280</v>
      </c>
      <c r="T44" s="3" t="s">
        <v>281</v>
      </c>
      <c r="U44" s="3" t="s">
        <v>282</v>
      </c>
    </row>
    <row r="45" spans="1:21" ht="19.95" customHeight="1">
      <c r="A45" s="3" t="s">
        <v>12</v>
      </c>
      <c r="B45" s="9" t="s">
        <v>13</v>
      </c>
      <c r="C45" s="9" t="s">
        <v>153</v>
      </c>
      <c r="D45" s="9" t="s">
        <v>154</v>
      </c>
      <c r="E45" s="9" t="s">
        <v>76</v>
      </c>
      <c r="F45" s="9" t="s">
        <v>77</v>
      </c>
      <c r="G45" s="3" t="s">
        <v>283</v>
      </c>
      <c r="H45" s="6">
        <v>8396</v>
      </c>
      <c r="I45" s="6">
        <v>8396</v>
      </c>
      <c r="J45" s="6">
        <v>8396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9" t="s">
        <v>112</v>
      </c>
      <c r="Q45" s="3"/>
      <c r="R45" s="3" t="s">
        <v>284</v>
      </c>
      <c r="S45" s="3" t="s">
        <v>285</v>
      </c>
      <c r="T45" s="3" t="s">
        <v>286</v>
      </c>
      <c r="U45" s="3" t="s">
        <v>287</v>
      </c>
    </row>
    <row r="46" spans="1:21" ht="19.95" customHeight="1">
      <c r="A46" s="3" t="s">
        <v>12</v>
      </c>
      <c r="B46" s="9" t="s">
        <v>13</v>
      </c>
      <c r="C46" s="9" t="s">
        <v>165</v>
      </c>
      <c r="D46" s="9" t="s">
        <v>166</v>
      </c>
      <c r="E46" s="9" t="s">
        <v>76</v>
      </c>
      <c r="F46" s="9" t="s">
        <v>77</v>
      </c>
      <c r="G46" s="3" t="s">
        <v>288</v>
      </c>
      <c r="H46" s="6">
        <v>400</v>
      </c>
      <c r="I46" s="6">
        <v>400</v>
      </c>
      <c r="J46" s="6">
        <v>400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9" t="s">
        <v>112</v>
      </c>
      <c r="Q46" s="3"/>
      <c r="R46" s="3" t="s">
        <v>248</v>
      </c>
      <c r="S46" s="3" t="s">
        <v>249</v>
      </c>
      <c r="T46" s="3" t="s">
        <v>289</v>
      </c>
      <c r="U46" s="3" t="s">
        <v>290</v>
      </c>
    </row>
    <row r="47" spans="1:21" ht="19.95" customHeight="1">
      <c r="A47" s="3" t="s">
        <v>12</v>
      </c>
      <c r="B47" s="9" t="s">
        <v>13</v>
      </c>
      <c r="C47" s="9" t="s">
        <v>153</v>
      </c>
      <c r="D47" s="9" t="s">
        <v>154</v>
      </c>
      <c r="E47" s="9" t="s">
        <v>78</v>
      </c>
      <c r="F47" s="9" t="s">
        <v>79</v>
      </c>
      <c r="G47" s="3" t="s">
        <v>291</v>
      </c>
      <c r="H47" s="6">
        <v>4</v>
      </c>
      <c r="I47" s="6">
        <v>4</v>
      </c>
      <c r="J47" s="6">
        <v>4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9" t="s">
        <v>112</v>
      </c>
      <c r="Q47" s="3"/>
      <c r="R47" s="3" t="s">
        <v>292</v>
      </c>
      <c r="S47" s="3" t="s">
        <v>293</v>
      </c>
      <c r="T47" s="3" t="s">
        <v>294</v>
      </c>
      <c r="U47" s="3" t="s">
        <v>295</v>
      </c>
    </row>
    <row r="48" spans="1:21" ht="19.95" customHeight="1">
      <c r="A48" s="3" t="s">
        <v>12</v>
      </c>
      <c r="B48" s="9" t="s">
        <v>13</v>
      </c>
      <c r="C48" s="9" t="s">
        <v>153</v>
      </c>
      <c r="D48" s="9" t="s">
        <v>154</v>
      </c>
      <c r="E48" s="9" t="s">
        <v>88</v>
      </c>
      <c r="F48" s="9" t="s">
        <v>89</v>
      </c>
      <c r="G48" s="3" t="s">
        <v>296</v>
      </c>
      <c r="H48" s="6">
        <v>830</v>
      </c>
      <c r="I48" s="6">
        <v>830</v>
      </c>
      <c r="J48" s="6">
        <v>830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9" t="s">
        <v>112</v>
      </c>
      <c r="Q48" s="3"/>
      <c r="R48" s="3" t="s">
        <v>297</v>
      </c>
      <c r="S48" s="3" t="s">
        <v>298</v>
      </c>
      <c r="T48" s="3" t="s">
        <v>299</v>
      </c>
      <c r="U48" s="3" t="s">
        <v>300</v>
      </c>
    </row>
    <row r="49" spans="1:21" ht="19.95" customHeight="1">
      <c r="A49" s="3" t="s">
        <v>12</v>
      </c>
      <c r="B49" s="9" t="s">
        <v>13</v>
      </c>
      <c r="C49" s="9" t="s">
        <v>153</v>
      </c>
      <c r="D49" s="9" t="s">
        <v>154</v>
      </c>
      <c r="E49" s="9" t="s">
        <v>90</v>
      </c>
      <c r="F49" s="9" t="s">
        <v>91</v>
      </c>
      <c r="G49" s="3" t="s">
        <v>301</v>
      </c>
      <c r="H49" s="6">
        <v>550</v>
      </c>
      <c r="I49" s="6">
        <v>550</v>
      </c>
      <c r="J49" s="6">
        <v>550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9" t="s">
        <v>112</v>
      </c>
      <c r="Q49" s="3"/>
      <c r="R49" s="3" t="s">
        <v>302</v>
      </c>
      <c r="S49" s="3" t="s">
        <v>303</v>
      </c>
      <c r="T49" s="3" t="s">
        <v>304</v>
      </c>
      <c r="U49" s="3" t="s">
        <v>305</v>
      </c>
    </row>
    <row r="50" spans="1:21" ht="19.95" customHeight="1">
      <c r="A50" s="3" t="s">
        <v>12</v>
      </c>
      <c r="B50" s="9" t="s">
        <v>13</v>
      </c>
      <c r="C50" s="9" t="s">
        <v>153</v>
      </c>
      <c r="D50" s="9" t="s">
        <v>154</v>
      </c>
      <c r="E50" s="9" t="s">
        <v>92</v>
      </c>
      <c r="F50" s="9" t="s">
        <v>93</v>
      </c>
      <c r="G50" s="3" t="s">
        <v>306</v>
      </c>
      <c r="H50" s="6">
        <v>1926</v>
      </c>
      <c r="I50" s="6">
        <v>1926</v>
      </c>
      <c r="J50" s="6">
        <v>1926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9" t="s">
        <v>112</v>
      </c>
      <c r="Q50" s="3"/>
      <c r="R50" s="3" t="s">
        <v>307</v>
      </c>
      <c r="S50" s="3" t="s">
        <v>308</v>
      </c>
      <c r="T50" s="3" t="s">
        <v>309</v>
      </c>
      <c r="U50" s="3" t="s">
        <v>310</v>
      </c>
    </row>
    <row r="51" spans="1:21" ht="19.95" customHeight="1">
      <c r="A51" s="3" t="s">
        <v>12</v>
      </c>
      <c r="B51" s="9" t="s">
        <v>13</v>
      </c>
      <c r="C51" s="9" t="s">
        <v>165</v>
      </c>
      <c r="D51" s="9" t="s">
        <v>166</v>
      </c>
      <c r="E51" s="9" t="s">
        <v>92</v>
      </c>
      <c r="F51" s="9" t="s">
        <v>93</v>
      </c>
      <c r="G51" s="3" t="s">
        <v>311</v>
      </c>
      <c r="H51" s="6">
        <v>400</v>
      </c>
      <c r="I51" s="6">
        <v>400</v>
      </c>
      <c r="J51" s="6">
        <v>400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9" t="s">
        <v>112</v>
      </c>
      <c r="Q51" s="3"/>
      <c r="R51" s="3" t="s">
        <v>248</v>
      </c>
      <c r="S51" s="3" t="s">
        <v>249</v>
      </c>
      <c r="T51" s="3" t="s">
        <v>312</v>
      </c>
      <c r="U51" s="3" t="s">
        <v>313</v>
      </c>
    </row>
    <row r="52" spans="1:21" ht="19.95" customHeight="1">
      <c r="A52" s="3" t="s">
        <v>12</v>
      </c>
      <c r="B52" s="9" t="s">
        <v>13</v>
      </c>
      <c r="C52" s="9" t="s">
        <v>153</v>
      </c>
      <c r="D52" s="9" t="s">
        <v>154</v>
      </c>
      <c r="E52" s="9" t="s">
        <v>94</v>
      </c>
      <c r="F52" s="9" t="s">
        <v>95</v>
      </c>
      <c r="G52" s="3" t="s">
        <v>314</v>
      </c>
      <c r="H52" s="6">
        <v>631</v>
      </c>
      <c r="I52" s="6">
        <v>631</v>
      </c>
      <c r="J52" s="6">
        <v>631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9" t="s">
        <v>112</v>
      </c>
      <c r="Q52" s="3"/>
      <c r="R52" s="3" t="s">
        <v>315</v>
      </c>
      <c r="S52" s="3" t="s">
        <v>316</v>
      </c>
      <c r="T52" s="3" t="s">
        <v>317</v>
      </c>
      <c r="U52" s="3" t="s">
        <v>318</v>
      </c>
    </row>
    <row r="53" spans="1:21" ht="19.95" customHeight="1">
      <c r="A53" s="3" t="s">
        <v>12</v>
      </c>
      <c r="B53" s="9" t="s">
        <v>13</v>
      </c>
      <c r="C53" s="9" t="s">
        <v>153</v>
      </c>
      <c r="D53" s="9" t="s">
        <v>154</v>
      </c>
      <c r="E53" s="9" t="s">
        <v>96</v>
      </c>
      <c r="F53" s="9" t="s">
        <v>97</v>
      </c>
      <c r="G53" s="3" t="s">
        <v>319</v>
      </c>
      <c r="H53" s="6">
        <v>680</v>
      </c>
      <c r="I53" s="6">
        <v>680</v>
      </c>
      <c r="J53" s="6">
        <v>680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9" t="s">
        <v>112</v>
      </c>
      <c r="Q53" s="3"/>
      <c r="R53" s="3" t="s">
        <v>320</v>
      </c>
      <c r="S53" s="3" t="s">
        <v>321</v>
      </c>
      <c r="T53" s="3" t="s">
        <v>322</v>
      </c>
      <c r="U53" s="3" t="s">
        <v>323</v>
      </c>
    </row>
    <row r="54" spans="1:21" ht="19.95" customHeight="1">
      <c r="A54" s="3" t="s">
        <v>19</v>
      </c>
      <c r="B54" s="9" t="s">
        <v>18</v>
      </c>
      <c r="C54" s="9" t="s">
        <v>324</v>
      </c>
      <c r="D54" s="9"/>
      <c r="E54" s="9" t="s">
        <v>40</v>
      </c>
      <c r="F54" s="9" t="s">
        <v>41</v>
      </c>
      <c r="G54" s="3" t="s">
        <v>325</v>
      </c>
      <c r="H54" s="6">
        <v>2998</v>
      </c>
      <c r="I54" s="6">
        <v>2998</v>
      </c>
      <c r="J54" s="6">
        <v>2998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9" t="s">
        <v>112</v>
      </c>
      <c r="Q54" s="3"/>
      <c r="R54" s="3" t="s">
        <v>326</v>
      </c>
      <c r="S54" s="3" t="s">
        <v>327</v>
      </c>
      <c r="T54" s="3" t="s">
        <v>328</v>
      </c>
      <c r="U54" s="3" t="s">
        <v>329</v>
      </c>
    </row>
    <row r="55" spans="1:21" ht="19.95" customHeight="1">
      <c r="A55" s="3" t="s">
        <v>19</v>
      </c>
      <c r="B55" s="9" t="s">
        <v>18</v>
      </c>
      <c r="C55" s="9" t="s">
        <v>324</v>
      </c>
      <c r="D55" s="9"/>
      <c r="E55" s="9" t="s">
        <v>42</v>
      </c>
      <c r="F55" s="9" t="s">
        <v>43</v>
      </c>
      <c r="G55" s="3" t="s">
        <v>330</v>
      </c>
      <c r="H55" s="6">
        <v>2993</v>
      </c>
      <c r="I55" s="6">
        <v>2993</v>
      </c>
      <c r="J55" s="6">
        <v>2993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9" t="s">
        <v>112</v>
      </c>
      <c r="Q55" s="3"/>
      <c r="R55" s="3" t="s">
        <v>331</v>
      </c>
      <c r="S55" s="3" t="s">
        <v>332</v>
      </c>
      <c r="T55" s="3" t="s">
        <v>333</v>
      </c>
      <c r="U55" s="3" t="s">
        <v>334</v>
      </c>
    </row>
    <row r="56" spans="1:21" ht="19.95" customHeight="1">
      <c r="A56" s="3" t="s">
        <v>19</v>
      </c>
      <c r="B56" s="9" t="s">
        <v>18</v>
      </c>
      <c r="C56" s="9" t="s">
        <v>324</v>
      </c>
      <c r="D56" s="9"/>
      <c r="E56" s="9" t="s">
        <v>44</v>
      </c>
      <c r="F56" s="9" t="s">
        <v>45</v>
      </c>
      <c r="G56" s="3" t="s">
        <v>335</v>
      </c>
      <c r="H56" s="6">
        <v>3995</v>
      </c>
      <c r="I56" s="6">
        <v>3995</v>
      </c>
      <c r="J56" s="6">
        <v>3995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9" t="s">
        <v>112</v>
      </c>
      <c r="Q56" s="3"/>
      <c r="R56" s="3" t="s">
        <v>336</v>
      </c>
      <c r="S56" s="3" t="s">
        <v>337</v>
      </c>
      <c r="T56" s="3" t="s">
        <v>338</v>
      </c>
      <c r="U56" s="3" t="s">
        <v>339</v>
      </c>
    </row>
    <row r="57" spans="1:21" ht="19.95" customHeight="1">
      <c r="A57" s="3" t="s">
        <v>19</v>
      </c>
      <c r="B57" s="9" t="s">
        <v>18</v>
      </c>
      <c r="C57" s="9" t="s">
        <v>324</v>
      </c>
      <c r="D57" s="9"/>
      <c r="E57" s="9" t="s">
        <v>56</v>
      </c>
      <c r="F57" s="9" t="s">
        <v>57</v>
      </c>
      <c r="G57" s="3" t="s">
        <v>340</v>
      </c>
      <c r="H57" s="6">
        <v>2999</v>
      </c>
      <c r="I57" s="6">
        <v>2999</v>
      </c>
      <c r="J57" s="6">
        <v>2999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9" t="s">
        <v>112</v>
      </c>
      <c r="Q57" s="3"/>
      <c r="R57" s="3" t="s">
        <v>341</v>
      </c>
      <c r="S57" s="3" t="s">
        <v>342</v>
      </c>
      <c r="T57" s="3" t="s">
        <v>343</v>
      </c>
      <c r="U57" s="3" t="s">
        <v>344</v>
      </c>
    </row>
    <row r="58" spans="1:21" ht="19.95" customHeight="1">
      <c r="A58" s="3" t="s">
        <v>19</v>
      </c>
      <c r="B58" s="9" t="s">
        <v>18</v>
      </c>
      <c r="C58" s="9" t="s">
        <v>324</v>
      </c>
      <c r="D58" s="9"/>
      <c r="E58" s="9" t="s">
        <v>58</v>
      </c>
      <c r="F58" s="9" t="s">
        <v>59</v>
      </c>
      <c r="G58" s="3" t="s">
        <v>345</v>
      </c>
      <c r="H58" s="6">
        <v>4994</v>
      </c>
      <c r="I58" s="6">
        <v>4994</v>
      </c>
      <c r="J58" s="6">
        <v>4994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9" t="s">
        <v>112</v>
      </c>
      <c r="Q58" s="3"/>
      <c r="R58" s="3" t="s">
        <v>346</v>
      </c>
      <c r="S58" s="3" t="s">
        <v>347</v>
      </c>
      <c r="T58" s="3" t="s">
        <v>348</v>
      </c>
      <c r="U58" s="3" t="s">
        <v>349</v>
      </c>
    </row>
    <row r="59" spans="1:21" ht="19.95" customHeight="1">
      <c r="A59" s="3" t="s">
        <v>19</v>
      </c>
      <c r="B59" s="9" t="s">
        <v>18</v>
      </c>
      <c r="C59" s="9" t="s">
        <v>324</v>
      </c>
      <c r="D59" s="9"/>
      <c r="E59" s="9" t="s">
        <v>66</v>
      </c>
      <c r="F59" s="9" t="s">
        <v>67</v>
      </c>
      <c r="G59" s="3" t="s">
        <v>350</v>
      </c>
      <c r="H59" s="6">
        <v>3000</v>
      </c>
      <c r="I59" s="6">
        <v>3000</v>
      </c>
      <c r="J59" s="6">
        <v>3000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9" t="s">
        <v>112</v>
      </c>
      <c r="Q59" s="3"/>
      <c r="R59" s="3" t="s">
        <v>351</v>
      </c>
      <c r="S59" s="3" t="s">
        <v>352</v>
      </c>
      <c r="T59" s="3" t="s">
        <v>353</v>
      </c>
      <c r="U59" s="3" t="s">
        <v>354</v>
      </c>
    </row>
    <row r="60" spans="1:21" ht="19.95" customHeight="1">
      <c r="A60" s="3" t="s">
        <v>19</v>
      </c>
      <c r="B60" s="9" t="s">
        <v>18</v>
      </c>
      <c r="C60" s="9" t="s">
        <v>324</v>
      </c>
      <c r="D60" s="9"/>
      <c r="E60" s="9" t="s">
        <v>68</v>
      </c>
      <c r="F60" s="9" t="s">
        <v>69</v>
      </c>
      <c r="G60" s="3" t="s">
        <v>355</v>
      </c>
      <c r="H60" s="6">
        <v>2997</v>
      </c>
      <c r="I60" s="6">
        <v>2997</v>
      </c>
      <c r="J60" s="6">
        <v>2997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9" t="s">
        <v>112</v>
      </c>
      <c r="Q60" s="3"/>
      <c r="R60" s="3" t="s">
        <v>356</v>
      </c>
      <c r="S60" s="3" t="s">
        <v>357</v>
      </c>
      <c r="T60" s="3" t="s">
        <v>358</v>
      </c>
      <c r="U60" s="3" t="s">
        <v>359</v>
      </c>
    </row>
    <row r="61" spans="1:21" ht="19.95" customHeight="1">
      <c r="A61" s="3" t="s">
        <v>19</v>
      </c>
      <c r="B61" s="9" t="s">
        <v>18</v>
      </c>
      <c r="C61" s="9" t="s">
        <v>324</v>
      </c>
      <c r="D61" s="9"/>
      <c r="E61" s="9" t="s">
        <v>74</v>
      </c>
      <c r="F61" s="9" t="s">
        <v>75</v>
      </c>
      <c r="G61" s="3" t="s">
        <v>360</v>
      </c>
      <c r="H61" s="6">
        <v>2999</v>
      </c>
      <c r="I61" s="6">
        <v>2999</v>
      </c>
      <c r="J61" s="6">
        <v>2999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9" t="s">
        <v>112</v>
      </c>
      <c r="Q61" s="3"/>
      <c r="R61" s="3" t="s">
        <v>341</v>
      </c>
      <c r="S61" s="3" t="s">
        <v>342</v>
      </c>
      <c r="T61" s="3" t="s">
        <v>361</v>
      </c>
      <c r="U61" s="3" t="s">
        <v>362</v>
      </c>
    </row>
    <row r="62" spans="1:21" ht="19.95" customHeight="1">
      <c r="A62" s="3" t="s">
        <v>19</v>
      </c>
      <c r="B62" s="9" t="s">
        <v>18</v>
      </c>
      <c r="C62" s="9" t="s">
        <v>324</v>
      </c>
      <c r="D62" s="9"/>
      <c r="E62" s="9" t="s">
        <v>92</v>
      </c>
      <c r="F62" s="9" t="s">
        <v>93</v>
      </c>
      <c r="G62" s="3" t="s">
        <v>363</v>
      </c>
      <c r="H62" s="6">
        <v>2998</v>
      </c>
      <c r="I62" s="6">
        <v>2998</v>
      </c>
      <c r="J62" s="6">
        <v>2998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9" t="s">
        <v>112</v>
      </c>
      <c r="Q62" s="3"/>
      <c r="R62" s="3" t="s">
        <v>326</v>
      </c>
      <c r="S62" s="3" t="s">
        <v>327</v>
      </c>
      <c r="T62" s="3" t="s">
        <v>364</v>
      </c>
      <c r="U62" s="3" t="s">
        <v>365</v>
      </c>
    </row>
    <row r="63" spans="1:21" ht="19.95" customHeight="1">
      <c r="A63" s="3" t="s">
        <v>17</v>
      </c>
      <c r="B63" s="9" t="s">
        <v>18</v>
      </c>
      <c r="C63" s="9" t="s">
        <v>153</v>
      </c>
      <c r="D63" s="9" t="s">
        <v>154</v>
      </c>
      <c r="E63" s="9" t="s">
        <v>38</v>
      </c>
      <c r="F63" s="9" t="s">
        <v>39</v>
      </c>
      <c r="G63" s="3" t="s">
        <v>155</v>
      </c>
      <c r="H63" s="6">
        <v>105</v>
      </c>
      <c r="I63" s="6">
        <v>105</v>
      </c>
      <c r="J63" s="6">
        <v>105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9" t="s">
        <v>112</v>
      </c>
      <c r="Q63" s="3"/>
      <c r="R63" s="3" t="s">
        <v>366</v>
      </c>
      <c r="S63" s="3" t="s">
        <v>367</v>
      </c>
      <c r="T63" s="3" t="s">
        <v>368</v>
      </c>
      <c r="U63" s="3" t="s">
        <v>369</v>
      </c>
    </row>
    <row r="64" spans="1:21" ht="19.95" customHeight="1">
      <c r="A64" s="3" t="s">
        <v>17</v>
      </c>
      <c r="B64" s="9" t="s">
        <v>18</v>
      </c>
      <c r="C64" s="9" t="s">
        <v>153</v>
      </c>
      <c r="D64" s="9" t="s">
        <v>154</v>
      </c>
      <c r="E64" s="9" t="s">
        <v>40</v>
      </c>
      <c r="F64" s="9" t="s">
        <v>41</v>
      </c>
      <c r="G64" s="3" t="s">
        <v>160</v>
      </c>
      <c r="H64" s="6">
        <v>730</v>
      </c>
      <c r="I64" s="6">
        <v>730</v>
      </c>
      <c r="J64" s="6">
        <v>730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9" t="s">
        <v>112</v>
      </c>
      <c r="Q64" s="3"/>
      <c r="R64" s="3" t="s">
        <v>370</v>
      </c>
      <c r="S64" s="3" t="s">
        <v>371</v>
      </c>
      <c r="T64" s="3" t="s">
        <v>372</v>
      </c>
      <c r="U64" s="3" t="s">
        <v>373</v>
      </c>
    </row>
    <row r="65" spans="1:21" ht="19.95" customHeight="1">
      <c r="A65" s="3" t="s">
        <v>17</v>
      </c>
      <c r="B65" s="9" t="s">
        <v>18</v>
      </c>
      <c r="C65" s="9" t="s">
        <v>165</v>
      </c>
      <c r="D65" s="9" t="s">
        <v>166</v>
      </c>
      <c r="E65" s="9" t="s">
        <v>40</v>
      </c>
      <c r="F65" s="9" t="s">
        <v>41</v>
      </c>
      <c r="G65" s="3" t="s">
        <v>167</v>
      </c>
      <c r="H65" s="6">
        <v>100</v>
      </c>
      <c r="I65" s="6">
        <v>100</v>
      </c>
      <c r="J65" s="6">
        <v>100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9" t="s">
        <v>112</v>
      </c>
      <c r="Q65" s="3"/>
      <c r="R65" s="3" t="s">
        <v>374</v>
      </c>
      <c r="S65" s="3" t="s">
        <v>375</v>
      </c>
      <c r="T65" s="3" t="s">
        <v>376</v>
      </c>
      <c r="U65" s="3" t="s">
        <v>377</v>
      </c>
    </row>
    <row r="66" spans="1:21" ht="19.95" customHeight="1">
      <c r="A66" s="3" t="s">
        <v>17</v>
      </c>
      <c r="B66" s="9" t="s">
        <v>18</v>
      </c>
      <c r="C66" s="9" t="s">
        <v>153</v>
      </c>
      <c r="D66" s="9" t="s">
        <v>154</v>
      </c>
      <c r="E66" s="9" t="s">
        <v>42</v>
      </c>
      <c r="F66" s="9" t="s">
        <v>43</v>
      </c>
      <c r="G66" s="3" t="s">
        <v>172</v>
      </c>
      <c r="H66" s="6">
        <v>726</v>
      </c>
      <c r="I66" s="6">
        <v>726</v>
      </c>
      <c r="J66" s="6">
        <v>726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9" t="s">
        <v>112</v>
      </c>
      <c r="Q66" s="3"/>
      <c r="R66" s="3" t="s">
        <v>378</v>
      </c>
      <c r="S66" s="3" t="s">
        <v>379</v>
      </c>
      <c r="T66" s="3" t="s">
        <v>380</v>
      </c>
      <c r="U66" s="3" t="s">
        <v>381</v>
      </c>
    </row>
    <row r="67" spans="1:21" ht="19.95" customHeight="1">
      <c r="A67" s="3" t="s">
        <v>17</v>
      </c>
      <c r="B67" s="9" t="s">
        <v>18</v>
      </c>
      <c r="C67" s="9" t="s">
        <v>165</v>
      </c>
      <c r="D67" s="9" t="s">
        <v>166</v>
      </c>
      <c r="E67" s="9" t="s">
        <v>42</v>
      </c>
      <c r="F67" s="9" t="s">
        <v>43</v>
      </c>
      <c r="G67" s="3" t="s">
        <v>177</v>
      </c>
      <c r="H67" s="6">
        <v>100</v>
      </c>
      <c r="I67" s="6">
        <v>100</v>
      </c>
      <c r="J67" s="6">
        <v>100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9" t="s">
        <v>112</v>
      </c>
      <c r="Q67" s="3"/>
      <c r="R67" s="3" t="s">
        <v>374</v>
      </c>
      <c r="S67" s="3" t="s">
        <v>375</v>
      </c>
      <c r="T67" s="3" t="s">
        <v>382</v>
      </c>
      <c r="U67" s="3" t="s">
        <v>383</v>
      </c>
    </row>
    <row r="68" spans="1:21" ht="19.95" customHeight="1">
      <c r="A68" s="3" t="s">
        <v>17</v>
      </c>
      <c r="B68" s="9" t="s">
        <v>18</v>
      </c>
      <c r="C68" s="9" t="s">
        <v>153</v>
      </c>
      <c r="D68" s="9" t="s">
        <v>154</v>
      </c>
      <c r="E68" s="9" t="s">
        <v>44</v>
      </c>
      <c r="F68" s="9" t="s">
        <v>45</v>
      </c>
      <c r="G68" s="3" t="s">
        <v>182</v>
      </c>
      <c r="H68" s="6">
        <v>710</v>
      </c>
      <c r="I68" s="6">
        <v>710</v>
      </c>
      <c r="J68" s="6">
        <v>710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9" t="s">
        <v>112</v>
      </c>
      <c r="Q68" s="3"/>
      <c r="R68" s="3" t="s">
        <v>384</v>
      </c>
      <c r="S68" s="3" t="s">
        <v>385</v>
      </c>
      <c r="T68" s="3" t="s">
        <v>386</v>
      </c>
      <c r="U68" s="3" t="s">
        <v>387</v>
      </c>
    </row>
    <row r="69" spans="1:21" ht="19.95" customHeight="1">
      <c r="A69" s="3" t="s">
        <v>17</v>
      </c>
      <c r="B69" s="9" t="s">
        <v>18</v>
      </c>
      <c r="C69" s="9" t="s">
        <v>165</v>
      </c>
      <c r="D69" s="9" t="s">
        <v>166</v>
      </c>
      <c r="E69" s="9" t="s">
        <v>44</v>
      </c>
      <c r="F69" s="9" t="s">
        <v>45</v>
      </c>
      <c r="G69" s="3" t="s">
        <v>187</v>
      </c>
      <c r="H69" s="6">
        <v>100</v>
      </c>
      <c r="I69" s="6">
        <v>100</v>
      </c>
      <c r="J69" s="6">
        <v>100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9" t="s">
        <v>112</v>
      </c>
      <c r="Q69" s="3"/>
      <c r="R69" s="3" t="s">
        <v>374</v>
      </c>
      <c r="S69" s="3" t="s">
        <v>375</v>
      </c>
      <c r="T69" s="3" t="s">
        <v>388</v>
      </c>
      <c r="U69" s="3" t="s">
        <v>389</v>
      </c>
    </row>
    <row r="70" spans="1:21" ht="19.95" customHeight="1">
      <c r="A70" s="3" t="s">
        <v>17</v>
      </c>
      <c r="B70" s="9" t="s">
        <v>18</v>
      </c>
      <c r="C70" s="9" t="s">
        <v>153</v>
      </c>
      <c r="D70" s="9" t="s">
        <v>154</v>
      </c>
      <c r="E70" s="9" t="s">
        <v>46</v>
      </c>
      <c r="F70" s="9" t="s">
        <v>47</v>
      </c>
      <c r="G70" s="3" t="s">
        <v>192</v>
      </c>
      <c r="H70" s="6">
        <v>307</v>
      </c>
      <c r="I70" s="6">
        <v>307</v>
      </c>
      <c r="J70" s="6">
        <v>307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9" t="s">
        <v>112</v>
      </c>
      <c r="Q70" s="3"/>
      <c r="R70" s="3" t="s">
        <v>390</v>
      </c>
      <c r="S70" s="3" t="s">
        <v>391</v>
      </c>
      <c r="T70" s="3" t="s">
        <v>392</v>
      </c>
      <c r="U70" s="3" t="s">
        <v>393</v>
      </c>
    </row>
    <row r="71" spans="1:21" ht="19.95" customHeight="1">
      <c r="A71" s="3" t="s">
        <v>17</v>
      </c>
      <c r="B71" s="9" t="s">
        <v>18</v>
      </c>
      <c r="C71" s="9" t="s">
        <v>165</v>
      </c>
      <c r="D71" s="9" t="s">
        <v>166</v>
      </c>
      <c r="E71" s="9" t="s">
        <v>46</v>
      </c>
      <c r="F71" s="9" t="s">
        <v>47</v>
      </c>
      <c r="G71" s="3" t="s">
        <v>197</v>
      </c>
      <c r="H71" s="6">
        <v>40</v>
      </c>
      <c r="I71" s="6">
        <v>40</v>
      </c>
      <c r="J71" s="6">
        <v>40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9" t="s">
        <v>112</v>
      </c>
      <c r="Q71" s="3"/>
      <c r="R71" s="3" t="s">
        <v>394</v>
      </c>
      <c r="S71" s="3" t="s">
        <v>395</v>
      </c>
      <c r="T71" s="3" t="s">
        <v>396</v>
      </c>
      <c r="U71" s="3" t="s">
        <v>397</v>
      </c>
    </row>
    <row r="72" spans="1:21" ht="19.95" customHeight="1">
      <c r="A72" s="3" t="s">
        <v>17</v>
      </c>
      <c r="B72" s="9" t="s">
        <v>18</v>
      </c>
      <c r="C72" s="9" t="s">
        <v>153</v>
      </c>
      <c r="D72" s="9" t="s">
        <v>154</v>
      </c>
      <c r="E72" s="9" t="s">
        <v>48</v>
      </c>
      <c r="F72" s="9" t="s">
        <v>49</v>
      </c>
      <c r="G72" s="3" t="s">
        <v>202</v>
      </c>
      <c r="H72" s="6">
        <v>9</v>
      </c>
      <c r="I72" s="6">
        <v>9</v>
      </c>
      <c r="J72" s="6">
        <v>9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9" t="s">
        <v>112</v>
      </c>
      <c r="Q72" s="3"/>
      <c r="R72" s="3" t="s">
        <v>398</v>
      </c>
      <c r="S72" s="3" t="s">
        <v>399</v>
      </c>
      <c r="T72" s="3" t="s">
        <v>400</v>
      </c>
      <c r="U72" s="3" t="s">
        <v>401</v>
      </c>
    </row>
    <row r="73" spans="1:21" ht="19.95" customHeight="1">
      <c r="A73" s="3" t="s">
        <v>17</v>
      </c>
      <c r="B73" s="9" t="s">
        <v>18</v>
      </c>
      <c r="C73" s="9" t="s">
        <v>153</v>
      </c>
      <c r="D73" s="9" t="s">
        <v>154</v>
      </c>
      <c r="E73" s="9" t="s">
        <v>50</v>
      </c>
      <c r="F73" s="9" t="s">
        <v>51</v>
      </c>
      <c r="G73" s="3" t="s">
        <v>207</v>
      </c>
      <c r="H73" s="6">
        <v>24</v>
      </c>
      <c r="I73" s="6">
        <v>24</v>
      </c>
      <c r="J73" s="6">
        <v>24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9" t="s">
        <v>112</v>
      </c>
      <c r="Q73" s="3"/>
      <c r="R73" s="3" t="s">
        <v>402</v>
      </c>
      <c r="S73" s="3" t="s">
        <v>403</v>
      </c>
      <c r="T73" s="3" t="s">
        <v>404</v>
      </c>
      <c r="U73" s="3" t="s">
        <v>405</v>
      </c>
    </row>
    <row r="74" spans="1:21" ht="19.95" customHeight="1">
      <c r="A74" s="3" t="s">
        <v>17</v>
      </c>
      <c r="B74" s="9" t="s">
        <v>18</v>
      </c>
      <c r="C74" s="9" t="s">
        <v>153</v>
      </c>
      <c r="D74" s="9" t="s">
        <v>154</v>
      </c>
      <c r="E74" s="9" t="s">
        <v>52</v>
      </c>
      <c r="F74" s="9" t="s">
        <v>53</v>
      </c>
      <c r="G74" s="3" t="s">
        <v>212</v>
      </c>
      <c r="H74" s="6">
        <v>73</v>
      </c>
      <c r="I74" s="6">
        <v>73</v>
      </c>
      <c r="J74" s="6">
        <v>73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9" t="s">
        <v>112</v>
      </c>
      <c r="Q74" s="3"/>
      <c r="R74" s="3" t="s">
        <v>406</v>
      </c>
      <c r="S74" s="3" t="s">
        <v>407</v>
      </c>
      <c r="T74" s="3" t="s">
        <v>408</v>
      </c>
      <c r="U74" s="3" t="s">
        <v>409</v>
      </c>
    </row>
    <row r="75" spans="1:21" ht="19.95" customHeight="1">
      <c r="A75" s="3" t="s">
        <v>17</v>
      </c>
      <c r="B75" s="9" t="s">
        <v>18</v>
      </c>
      <c r="C75" s="9" t="s">
        <v>153</v>
      </c>
      <c r="D75" s="9" t="s">
        <v>154</v>
      </c>
      <c r="E75" s="9" t="s">
        <v>54</v>
      </c>
      <c r="F75" s="9" t="s">
        <v>55</v>
      </c>
      <c r="G75" s="3" t="s">
        <v>217</v>
      </c>
      <c r="H75" s="6">
        <v>161</v>
      </c>
      <c r="I75" s="6">
        <v>161</v>
      </c>
      <c r="J75" s="6">
        <v>161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9" t="s">
        <v>112</v>
      </c>
      <c r="Q75" s="3"/>
      <c r="R75" s="3" t="s">
        <v>410</v>
      </c>
      <c r="S75" s="3" t="s">
        <v>411</v>
      </c>
      <c r="T75" s="3" t="s">
        <v>412</v>
      </c>
      <c r="U75" s="3" t="s">
        <v>413</v>
      </c>
    </row>
    <row r="76" spans="1:21" ht="19.95" customHeight="1">
      <c r="A76" s="3" t="s">
        <v>17</v>
      </c>
      <c r="B76" s="9" t="s">
        <v>18</v>
      </c>
      <c r="C76" s="9" t="s">
        <v>153</v>
      </c>
      <c r="D76" s="9" t="s">
        <v>154</v>
      </c>
      <c r="E76" s="9" t="s">
        <v>56</v>
      </c>
      <c r="F76" s="9" t="s">
        <v>57</v>
      </c>
      <c r="G76" s="3" t="s">
        <v>222</v>
      </c>
      <c r="H76" s="6">
        <v>863</v>
      </c>
      <c r="I76" s="6">
        <v>863</v>
      </c>
      <c r="J76" s="6">
        <v>863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9" t="s">
        <v>112</v>
      </c>
      <c r="Q76" s="3"/>
      <c r="R76" s="3" t="s">
        <v>414</v>
      </c>
      <c r="S76" s="3" t="s">
        <v>415</v>
      </c>
      <c r="T76" s="3" t="s">
        <v>416</v>
      </c>
      <c r="U76" s="3" t="s">
        <v>417</v>
      </c>
    </row>
    <row r="77" spans="1:21" ht="19.95" customHeight="1">
      <c r="A77" s="3" t="s">
        <v>17</v>
      </c>
      <c r="B77" s="9" t="s">
        <v>18</v>
      </c>
      <c r="C77" s="9" t="s">
        <v>165</v>
      </c>
      <c r="D77" s="9" t="s">
        <v>166</v>
      </c>
      <c r="E77" s="9" t="s">
        <v>56</v>
      </c>
      <c r="F77" s="9" t="s">
        <v>57</v>
      </c>
      <c r="G77" s="3" t="s">
        <v>227</v>
      </c>
      <c r="H77" s="6">
        <v>100</v>
      </c>
      <c r="I77" s="6">
        <v>100</v>
      </c>
      <c r="J77" s="6">
        <v>100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9" t="s">
        <v>112</v>
      </c>
      <c r="Q77" s="3"/>
      <c r="R77" s="3" t="s">
        <v>374</v>
      </c>
      <c r="S77" s="3" t="s">
        <v>375</v>
      </c>
      <c r="T77" s="3" t="s">
        <v>418</v>
      </c>
      <c r="U77" s="3" t="s">
        <v>419</v>
      </c>
    </row>
    <row r="78" spans="1:21" ht="19.95" customHeight="1">
      <c r="A78" s="3" t="s">
        <v>17</v>
      </c>
      <c r="B78" s="9" t="s">
        <v>18</v>
      </c>
      <c r="C78" s="9" t="s">
        <v>153</v>
      </c>
      <c r="D78" s="9" t="s">
        <v>154</v>
      </c>
      <c r="E78" s="9" t="s">
        <v>60</v>
      </c>
      <c r="F78" s="9" t="s">
        <v>61</v>
      </c>
      <c r="G78" s="3" t="s">
        <v>232</v>
      </c>
      <c r="H78" s="6">
        <v>347</v>
      </c>
      <c r="I78" s="6">
        <v>347</v>
      </c>
      <c r="J78" s="6">
        <v>347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9" t="s">
        <v>112</v>
      </c>
      <c r="Q78" s="3"/>
      <c r="R78" s="3" t="s">
        <v>420</v>
      </c>
      <c r="S78" s="3" t="s">
        <v>421</v>
      </c>
      <c r="T78" s="3" t="s">
        <v>422</v>
      </c>
      <c r="U78" s="3" t="s">
        <v>423</v>
      </c>
    </row>
    <row r="79" spans="1:21" ht="19.95" customHeight="1">
      <c r="A79" s="3" t="s">
        <v>17</v>
      </c>
      <c r="B79" s="9" t="s">
        <v>18</v>
      </c>
      <c r="C79" s="9" t="s">
        <v>153</v>
      </c>
      <c r="D79" s="9" t="s">
        <v>154</v>
      </c>
      <c r="E79" s="9" t="s">
        <v>62</v>
      </c>
      <c r="F79" s="9" t="s">
        <v>63</v>
      </c>
      <c r="G79" s="3" t="s">
        <v>237</v>
      </c>
      <c r="H79" s="6">
        <v>132</v>
      </c>
      <c r="I79" s="6">
        <v>132</v>
      </c>
      <c r="J79" s="6">
        <v>132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9" t="s">
        <v>112</v>
      </c>
      <c r="Q79" s="3"/>
      <c r="R79" s="3" t="s">
        <v>424</v>
      </c>
      <c r="S79" s="3" t="s">
        <v>425</v>
      </c>
      <c r="T79" s="3" t="s">
        <v>426</v>
      </c>
      <c r="U79" s="3" t="s">
        <v>427</v>
      </c>
    </row>
    <row r="80" spans="1:21" ht="19.95" customHeight="1">
      <c r="A80" s="3" t="s">
        <v>17</v>
      </c>
      <c r="B80" s="9" t="s">
        <v>18</v>
      </c>
      <c r="C80" s="9" t="s">
        <v>153</v>
      </c>
      <c r="D80" s="9" t="s">
        <v>154</v>
      </c>
      <c r="E80" s="9" t="s">
        <v>66</v>
      </c>
      <c r="F80" s="9" t="s">
        <v>67</v>
      </c>
      <c r="G80" s="3" t="s">
        <v>242</v>
      </c>
      <c r="H80" s="6">
        <v>579</v>
      </c>
      <c r="I80" s="6">
        <v>579</v>
      </c>
      <c r="J80" s="6">
        <v>579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9" t="s">
        <v>112</v>
      </c>
      <c r="Q80" s="3"/>
      <c r="R80" s="3" t="s">
        <v>428</v>
      </c>
      <c r="S80" s="3" t="s">
        <v>429</v>
      </c>
      <c r="T80" s="3" t="s">
        <v>430</v>
      </c>
      <c r="U80" s="3" t="s">
        <v>431</v>
      </c>
    </row>
    <row r="81" spans="1:21" ht="19.95" customHeight="1">
      <c r="A81" s="3" t="s">
        <v>17</v>
      </c>
      <c r="B81" s="9" t="s">
        <v>18</v>
      </c>
      <c r="C81" s="9" t="s">
        <v>165</v>
      </c>
      <c r="D81" s="9" t="s">
        <v>166</v>
      </c>
      <c r="E81" s="9" t="s">
        <v>66</v>
      </c>
      <c r="F81" s="9" t="s">
        <v>67</v>
      </c>
      <c r="G81" s="3" t="s">
        <v>247</v>
      </c>
      <c r="H81" s="6">
        <v>100</v>
      </c>
      <c r="I81" s="6">
        <v>100</v>
      </c>
      <c r="J81" s="6">
        <v>100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9" t="s">
        <v>112</v>
      </c>
      <c r="Q81" s="3"/>
      <c r="R81" s="3" t="s">
        <v>374</v>
      </c>
      <c r="S81" s="3" t="s">
        <v>375</v>
      </c>
      <c r="T81" s="3" t="s">
        <v>432</v>
      </c>
      <c r="U81" s="3" t="s">
        <v>433</v>
      </c>
    </row>
    <row r="82" spans="1:21" ht="19.95" customHeight="1">
      <c r="A82" s="3" t="s">
        <v>17</v>
      </c>
      <c r="B82" s="9" t="s">
        <v>18</v>
      </c>
      <c r="C82" s="9" t="s">
        <v>153</v>
      </c>
      <c r="D82" s="9" t="s">
        <v>154</v>
      </c>
      <c r="E82" s="9" t="s">
        <v>68</v>
      </c>
      <c r="F82" s="9" t="s">
        <v>69</v>
      </c>
      <c r="G82" s="3" t="s">
        <v>252</v>
      </c>
      <c r="H82" s="6">
        <v>800</v>
      </c>
      <c r="I82" s="6">
        <v>800</v>
      </c>
      <c r="J82" s="6">
        <v>800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9" t="s">
        <v>112</v>
      </c>
      <c r="Q82" s="3"/>
      <c r="R82" s="3" t="s">
        <v>434</v>
      </c>
      <c r="S82" s="3" t="s">
        <v>435</v>
      </c>
      <c r="T82" s="3" t="s">
        <v>436</v>
      </c>
      <c r="U82" s="3" t="s">
        <v>437</v>
      </c>
    </row>
    <row r="83" spans="1:21" ht="19.95" customHeight="1">
      <c r="A83" s="3" t="s">
        <v>17</v>
      </c>
      <c r="B83" s="9" t="s">
        <v>18</v>
      </c>
      <c r="C83" s="9" t="s">
        <v>165</v>
      </c>
      <c r="D83" s="9" t="s">
        <v>166</v>
      </c>
      <c r="E83" s="9" t="s">
        <v>68</v>
      </c>
      <c r="F83" s="9" t="s">
        <v>69</v>
      </c>
      <c r="G83" s="3" t="s">
        <v>257</v>
      </c>
      <c r="H83" s="6">
        <v>100</v>
      </c>
      <c r="I83" s="6">
        <v>100</v>
      </c>
      <c r="J83" s="6">
        <v>100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9" t="s">
        <v>112</v>
      </c>
      <c r="Q83" s="3"/>
      <c r="R83" s="3" t="s">
        <v>374</v>
      </c>
      <c r="S83" s="3" t="s">
        <v>375</v>
      </c>
      <c r="T83" s="3" t="s">
        <v>438</v>
      </c>
      <c r="U83" s="3" t="s">
        <v>439</v>
      </c>
    </row>
    <row r="84" spans="1:21" ht="19.95" customHeight="1">
      <c r="A84" s="3" t="s">
        <v>17</v>
      </c>
      <c r="B84" s="9" t="s">
        <v>18</v>
      </c>
      <c r="C84" s="9" t="s">
        <v>153</v>
      </c>
      <c r="D84" s="9" t="s">
        <v>154</v>
      </c>
      <c r="E84" s="9" t="s">
        <v>70</v>
      </c>
      <c r="F84" s="9" t="s">
        <v>71</v>
      </c>
      <c r="G84" s="3" t="s">
        <v>260</v>
      </c>
      <c r="H84" s="6">
        <v>800</v>
      </c>
      <c r="I84" s="6">
        <v>800</v>
      </c>
      <c r="J84" s="6">
        <v>800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9" t="s">
        <v>112</v>
      </c>
      <c r="Q84" s="3"/>
      <c r="R84" s="3" t="s">
        <v>440</v>
      </c>
      <c r="S84" s="3" t="s">
        <v>441</v>
      </c>
      <c r="T84" s="3" t="s">
        <v>442</v>
      </c>
      <c r="U84" s="3" t="s">
        <v>443</v>
      </c>
    </row>
    <row r="85" spans="1:21" ht="19.95" customHeight="1">
      <c r="A85" s="3" t="s">
        <v>17</v>
      </c>
      <c r="B85" s="9" t="s">
        <v>18</v>
      </c>
      <c r="C85" s="9" t="s">
        <v>165</v>
      </c>
      <c r="D85" s="9" t="s">
        <v>166</v>
      </c>
      <c r="E85" s="9" t="s">
        <v>70</v>
      </c>
      <c r="F85" s="9" t="s">
        <v>71</v>
      </c>
      <c r="G85" s="3" t="s">
        <v>265</v>
      </c>
      <c r="H85" s="6">
        <v>100</v>
      </c>
      <c r="I85" s="6">
        <v>100</v>
      </c>
      <c r="J85" s="6">
        <v>100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9" t="s">
        <v>112</v>
      </c>
      <c r="Q85" s="3"/>
      <c r="R85" s="3" t="s">
        <v>374</v>
      </c>
      <c r="S85" s="3" t="s">
        <v>375</v>
      </c>
      <c r="T85" s="3" t="s">
        <v>444</v>
      </c>
      <c r="U85" s="3" t="s">
        <v>445</v>
      </c>
    </row>
    <row r="86" spans="1:21" ht="19.95" customHeight="1">
      <c r="A86" s="3" t="s">
        <v>17</v>
      </c>
      <c r="B86" s="9" t="s">
        <v>18</v>
      </c>
      <c r="C86" s="9" t="s">
        <v>153</v>
      </c>
      <c r="D86" s="9" t="s">
        <v>154</v>
      </c>
      <c r="E86" s="9" t="s">
        <v>72</v>
      </c>
      <c r="F86" s="9" t="s">
        <v>73</v>
      </c>
      <c r="G86" s="3" t="s">
        <v>268</v>
      </c>
      <c r="H86" s="6">
        <v>112</v>
      </c>
      <c r="I86" s="6">
        <v>112</v>
      </c>
      <c r="J86" s="6">
        <v>112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9" t="s">
        <v>112</v>
      </c>
      <c r="Q86" s="3"/>
      <c r="R86" s="3" t="s">
        <v>446</v>
      </c>
      <c r="S86" s="3" t="s">
        <v>447</v>
      </c>
      <c r="T86" s="3" t="s">
        <v>448</v>
      </c>
      <c r="U86" s="3" t="s">
        <v>449</v>
      </c>
    </row>
    <row r="87" spans="1:21" ht="19.95" customHeight="1">
      <c r="A87" s="3" t="s">
        <v>17</v>
      </c>
      <c r="B87" s="9" t="s">
        <v>18</v>
      </c>
      <c r="C87" s="9" t="s">
        <v>153</v>
      </c>
      <c r="D87" s="9" t="s">
        <v>154</v>
      </c>
      <c r="E87" s="9" t="s">
        <v>74</v>
      </c>
      <c r="F87" s="9" t="s">
        <v>75</v>
      </c>
      <c r="G87" s="3" t="s">
        <v>273</v>
      </c>
      <c r="H87" s="6">
        <v>800</v>
      </c>
      <c r="I87" s="6">
        <v>800</v>
      </c>
      <c r="J87" s="6">
        <v>800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9" t="s">
        <v>112</v>
      </c>
      <c r="Q87" s="3"/>
      <c r="R87" s="3" t="s">
        <v>450</v>
      </c>
      <c r="S87" s="3" t="s">
        <v>451</v>
      </c>
      <c r="T87" s="3" t="s">
        <v>452</v>
      </c>
      <c r="U87" s="3" t="s">
        <v>453</v>
      </c>
    </row>
    <row r="88" spans="1:21" ht="19.95" customHeight="1">
      <c r="A88" s="3" t="s">
        <v>17</v>
      </c>
      <c r="B88" s="9" t="s">
        <v>18</v>
      </c>
      <c r="C88" s="9" t="s">
        <v>165</v>
      </c>
      <c r="D88" s="9" t="s">
        <v>166</v>
      </c>
      <c r="E88" s="9" t="s">
        <v>74</v>
      </c>
      <c r="F88" s="9" t="s">
        <v>75</v>
      </c>
      <c r="G88" s="3" t="s">
        <v>278</v>
      </c>
      <c r="H88" s="6">
        <v>100</v>
      </c>
      <c r="I88" s="6">
        <v>100</v>
      </c>
      <c r="J88" s="6">
        <v>100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9" t="s">
        <v>112</v>
      </c>
      <c r="Q88" s="3"/>
      <c r="R88" s="3" t="s">
        <v>374</v>
      </c>
      <c r="S88" s="3" t="s">
        <v>375</v>
      </c>
      <c r="T88" s="3" t="s">
        <v>454</v>
      </c>
      <c r="U88" s="3" t="s">
        <v>455</v>
      </c>
    </row>
    <row r="89" spans="1:21" ht="19.95" customHeight="1">
      <c r="A89" s="3" t="s">
        <v>17</v>
      </c>
      <c r="B89" s="9" t="s">
        <v>18</v>
      </c>
      <c r="C89" s="9" t="s">
        <v>153</v>
      </c>
      <c r="D89" s="9" t="s">
        <v>154</v>
      </c>
      <c r="E89" s="9" t="s">
        <v>76</v>
      </c>
      <c r="F89" s="9" t="s">
        <v>77</v>
      </c>
      <c r="G89" s="3" t="s">
        <v>283</v>
      </c>
      <c r="H89" s="6">
        <v>890</v>
      </c>
      <c r="I89" s="6">
        <v>890</v>
      </c>
      <c r="J89" s="6">
        <v>890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9" t="s">
        <v>112</v>
      </c>
      <c r="Q89" s="3"/>
      <c r="R89" s="3" t="s">
        <v>456</v>
      </c>
      <c r="S89" s="3" t="s">
        <v>457</v>
      </c>
      <c r="T89" s="3" t="s">
        <v>458</v>
      </c>
      <c r="U89" s="3" t="s">
        <v>459</v>
      </c>
    </row>
    <row r="90" spans="1:21" ht="19.95" customHeight="1">
      <c r="A90" s="3" t="s">
        <v>17</v>
      </c>
      <c r="B90" s="9" t="s">
        <v>18</v>
      </c>
      <c r="C90" s="9" t="s">
        <v>165</v>
      </c>
      <c r="D90" s="9" t="s">
        <v>166</v>
      </c>
      <c r="E90" s="9" t="s">
        <v>76</v>
      </c>
      <c r="F90" s="9" t="s">
        <v>77</v>
      </c>
      <c r="G90" s="3" t="s">
        <v>288</v>
      </c>
      <c r="H90" s="6">
        <v>100</v>
      </c>
      <c r="I90" s="6">
        <v>100</v>
      </c>
      <c r="J90" s="6">
        <v>100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9" t="s">
        <v>112</v>
      </c>
      <c r="Q90" s="3"/>
      <c r="R90" s="3" t="s">
        <v>374</v>
      </c>
      <c r="S90" s="3" t="s">
        <v>375</v>
      </c>
      <c r="T90" s="3" t="s">
        <v>460</v>
      </c>
      <c r="U90" s="3" t="s">
        <v>461</v>
      </c>
    </row>
    <row r="91" spans="1:21" ht="19.95" customHeight="1">
      <c r="A91" s="3" t="s">
        <v>17</v>
      </c>
      <c r="B91" s="9" t="s">
        <v>18</v>
      </c>
      <c r="C91" s="9" t="s">
        <v>153</v>
      </c>
      <c r="D91" s="9" t="s">
        <v>154</v>
      </c>
      <c r="E91" s="9" t="s">
        <v>78</v>
      </c>
      <c r="F91" s="9" t="s">
        <v>79</v>
      </c>
      <c r="G91" s="3" t="s">
        <v>291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9" t="s">
        <v>112</v>
      </c>
      <c r="Q91" s="3"/>
      <c r="R91" s="3"/>
      <c r="S91" s="3"/>
      <c r="T91" s="3" t="s">
        <v>462</v>
      </c>
      <c r="U91" s="3" t="s">
        <v>463</v>
      </c>
    </row>
    <row r="92" spans="1:21" ht="19.95" customHeight="1">
      <c r="A92" s="3" t="s">
        <v>17</v>
      </c>
      <c r="B92" s="9" t="s">
        <v>18</v>
      </c>
      <c r="C92" s="9" t="s">
        <v>153</v>
      </c>
      <c r="D92" s="9" t="s">
        <v>154</v>
      </c>
      <c r="E92" s="9" t="s">
        <v>88</v>
      </c>
      <c r="F92" s="9" t="s">
        <v>89</v>
      </c>
      <c r="G92" s="3" t="s">
        <v>296</v>
      </c>
      <c r="H92" s="6">
        <v>224</v>
      </c>
      <c r="I92" s="6">
        <v>224</v>
      </c>
      <c r="J92" s="6">
        <v>224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9" t="s">
        <v>112</v>
      </c>
      <c r="Q92" s="3"/>
      <c r="R92" s="3" t="s">
        <v>464</v>
      </c>
      <c r="S92" s="3" t="s">
        <v>465</v>
      </c>
      <c r="T92" s="3" t="s">
        <v>466</v>
      </c>
      <c r="U92" s="3" t="s">
        <v>467</v>
      </c>
    </row>
    <row r="93" spans="1:21" ht="19.95" customHeight="1">
      <c r="A93" s="3" t="s">
        <v>17</v>
      </c>
      <c r="B93" s="9" t="s">
        <v>18</v>
      </c>
      <c r="C93" s="9" t="s">
        <v>153</v>
      </c>
      <c r="D93" s="9" t="s">
        <v>154</v>
      </c>
      <c r="E93" s="9" t="s">
        <v>90</v>
      </c>
      <c r="F93" s="9" t="s">
        <v>91</v>
      </c>
      <c r="G93" s="3" t="s">
        <v>301</v>
      </c>
      <c r="H93" s="6">
        <v>144</v>
      </c>
      <c r="I93" s="6">
        <v>144</v>
      </c>
      <c r="J93" s="6">
        <v>144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9" t="s">
        <v>112</v>
      </c>
      <c r="Q93" s="3"/>
      <c r="R93" s="3" t="s">
        <v>468</v>
      </c>
      <c r="S93" s="3" t="s">
        <v>469</v>
      </c>
      <c r="T93" s="3" t="s">
        <v>470</v>
      </c>
      <c r="U93" s="3" t="s">
        <v>471</v>
      </c>
    </row>
    <row r="94" spans="1:21" ht="19.95" customHeight="1">
      <c r="A94" s="3" t="s">
        <v>17</v>
      </c>
      <c r="B94" s="9" t="s">
        <v>18</v>
      </c>
      <c r="C94" s="9" t="s">
        <v>153</v>
      </c>
      <c r="D94" s="9" t="s">
        <v>154</v>
      </c>
      <c r="E94" s="9" t="s">
        <v>92</v>
      </c>
      <c r="F94" s="9" t="s">
        <v>93</v>
      </c>
      <c r="G94" s="3" t="s">
        <v>306</v>
      </c>
      <c r="H94" s="6">
        <v>700</v>
      </c>
      <c r="I94" s="6">
        <v>700</v>
      </c>
      <c r="J94" s="6">
        <v>700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9" t="s">
        <v>112</v>
      </c>
      <c r="Q94" s="3"/>
      <c r="R94" s="3" t="s">
        <v>472</v>
      </c>
      <c r="S94" s="3" t="s">
        <v>473</v>
      </c>
      <c r="T94" s="3" t="s">
        <v>474</v>
      </c>
      <c r="U94" s="3" t="s">
        <v>475</v>
      </c>
    </row>
    <row r="95" spans="1:21" ht="19.95" customHeight="1">
      <c r="A95" s="3" t="s">
        <v>17</v>
      </c>
      <c r="B95" s="9" t="s">
        <v>18</v>
      </c>
      <c r="C95" s="9" t="s">
        <v>165</v>
      </c>
      <c r="D95" s="9" t="s">
        <v>166</v>
      </c>
      <c r="E95" s="9" t="s">
        <v>92</v>
      </c>
      <c r="F95" s="9" t="s">
        <v>93</v>
      </c>
      <c r="G95" s="3" t="s">
        <v>311</v>
      </c>
      <c r="H95" s="6">
        <v>100</v>
      </c>
      <c r="I95" s="6">
        <v>100</v>
      </c>
      <c r="J95" s="6">
        <v>100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9" t="s">
        <v>112</v>
      </c>
      <c r="Q95" s="3"/>
      <c r="R95" s="3" t="s">
        <v>374</v>
      </c>
      <c r="S95" s="3" t="s">
        <v>375</v>
      </c>
      <c r="T95" s="3" t="s">
        <v>476</v>
      </c>
      <c r="U95" s="3" t="s">
        <v>477</v>
      </c>
    </row>
    <row r="96" spans="1:21" ht="19.95" customHeight="1">
      <c r="A96" s="3" t="s">
        <v>17</v>
      </c>
      <c r="B96" s="9" t="s">
        <v>18</v>
      </c>
      <c r="C96" s="9" t="s">
        <v>153</v>
      </c>
      <c r="D96" s="9" t="s">
        <v>154</v>
      </c>
      <c r="E96" s="9" t="s">
        <v>94</v>
      </c>
      <c r="F96" s="9" t="s">
        <v>95</v>
      </c>
      <c r="G96" s="3" t="s">
        <v>314</v>
      </c>
      <c r="H96" s="6">
        <v>583</v>
      </c>
      <c r="I96" s="6">
        <v>583</v>
      </c>
      <c r="J96" s="6">
        <v>583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9" t="s">
        <v>112</v>
      </c>
      <c r="Q96" s="3"/>
      <c r="R96" s="3" t="s">
        <v>478</v>
      </c>
      <c r="S96" s="3" t="s">
        <v>479</v>
      </c>
      <c r="T96" s="3" t="s">
        <v>480</v>
      </c>
      <c r="U96" s="3" t="s">
        <v>481</v>
      </c>
    </row>
    <row r="97" spans="1:21" ht="19.95" customHeight="1">
      <c r="A97" s="4" t="s">
        <v>17</v>
      </c>
      <c r="B97" s="10" t="s">
        <v>18</v>
      </c>
      <c r="C97" s="10" t="s">
        <v>153</v>
      </c>
      <c r="D97" s="10" t="s">
        <v>154</v>
      </c>
      <c r="E97" s="10" t="s">
        <v>96</v>
      </c>
      <c r="F97" s="10" t="s">
        <v>97</v>
      </c>
      <c r="G97" s="4" t="s">
        <v>319</v>
      </c>
      <c r="H97" s="7">
        <v>181</v>
      </c>
      <c r="I97" s="7">
        <v>181</v>
      </c>
      <c r="J97" s="7">
        <v>181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10" t="s">
        <v>112</v>
      </c>
      <c r="Q97" s="4"/>
      <c r="R97" s="4" t="s">
        <v>482</v>
      </c>
      <c r="S97" s="4" t="s">
        <v>483</v>
      </c>
      <c r="T97" s="4" t="s">
        <v>484</v>
      </c>
      <c r="U97" s="4" t="s">
        <v>485</v>
      </c>
    </row>
  </sheetData>
  <mergeCells count="2">
    <mergeCell ref="A1:U1"/>
    <mergeCell ref="A2:U2"/>
  </mergeCells>
  <phoneticPr fontId="8" type="noConversion"/>
  <conditionalFormatting sqref="P5:P97">
    <cfRule type="containsText" dxfId="3" priority="1" operator="containsText" text="확인 필요"/>
    <cfRule type="containsText" dxfId="2" priority="2" operator="containsText" text="다른 split에 존재"/>
    <cfRule type="containsText" dxfId="1" priority="3" operator="containsText" text="일치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0"/>
  <sheetViews>
    <sheetView showGridLines="0" topLeftCell="A7" workbookViewId="0">
      <selection activeCell="A7" sqref="A7"/>
    </sheetView>
  </sheetViews>
  <sheetFormatPr defaultRowHeight="13.8"/>
  <cols>
    <col min="1" max="1" width="24.3984375" customWidth="1"/>
    <col min="2" max="2" width="8.69921875" customWidth="1"/>
    <col min="3" max="3" width="37.5" customWidth="1"/>
    <col min="4" max="4" width="15" customWidth="1"/>
    <col min="5" max="5" width="22.5" customWidth="1"/>
    <col min="6" max="6" width="58.09765625" customWidth="1"/>
  </cols>
  <sheetData>
    <row r="1" spans="1:6" ht="30" customHeight="1">
      <c r="A1" s="22" t="s">
        <v>486</v>
      </c>
      <c r="B1" s="23"/>
      <c r="C1" s="23"/>
      <c r="D1" s="23"/>
      <c r="E1" s="23"/>
      <c r="F1" s="23"/>
    </row>
    <row r="3" spans="1:6" ht="28.05" customHeight="1">
      <c r="A3" s="1" t="s">
        <v>487</v>
      </c>
      <c r="B3" s="1" t="s">
        <v>3</v>
      </c>
      <c r="C3" s="1" t="s">
        <v>488</v>
      </c>
      <c r="D3" s="1" t="s">
        <v>107</v>
      </c>
      <c r="E3" s="1" t="s">
        <v>108</v>
      </c>
      <c r="F3" s="1" t="s">
        <v>489</v>
      </c>
    </row>
    <row r="4" spans="1:6" ht="42" customHeight="1">
      <c r="A4" s="19" t="s">
        <v>12</v>
      </c>
      <c r="B4" s="19" t="s">
        <v>13</v>
      </c>
      <c r="C4" s="19" t="s">
        <v>490</v>
      </c>
      <c r="D4" s="19" t="s">
        <v>491</v>
      </c>
      <c r="E4" s="19" t="s">
        <v>492</v>
      </c>
      <c r="F4" s="19" t="s">
        <v>493</v>
      </c>
    </row>
    <row r="5" spans="1:6" ht="42" customHeight="1">
      <c r="A5" s="20" t="s">
        <v>17</v>
      </c>
      <c r="B5" s="20" t="s">
        <v>18</v>
      </c>
      <c r="C5" s="20" t="s">
        <v>490</v>
      </c>
      <c r="D5" s="20" t="s">
        <v>491</v>
      </c>
      <c r="E5" s="20" t="s">
        <v>494</v>
      </c>
      <c r="F5" s="20" t="s">
        <v>495</v>
      </c>
    </row>
    <row r="6" spans="1:6" ht="42" customHeight="1">
      <c r="A6" s="20" t="s">
        <v>15</v>
      </c>
      <c r="B6" s="20" t="s">
        <v>13</v>
      </c>
      <c r="C6" s="20" t="s">
        <v>496</v>
      </c>
      <c r="D6" s="20" t="s">
        <v>497</v>
      </c>
      <c r="E6" s="20" t="s">
        <v>498</v>
      </c>
      <c r="F6" s="20" t="s">
        <v>499</v>
      </c>
    </row>
    <row r="7" spans="1:6" ht="42" customHeight="1">
      <c r="A7" s="21" t="s">
        <v>19</v>
      </c>
      <c r="B7" s="21" t="s">
        <v>18</v>
      </c>
      <c r="C7" s="21" t="s">
        <v>500</v>
      </c>
      <c r="D7" s="21" t="s">
        <v>497</v>
      </c>
      <c r="E7" s="21" t="s">
        <v>501</v>
      </c>
      <c r="F7" s="21" t="s">
        <v>502</v>
      </c>
    </row>
    <row r="9" spans="1:6" ht="17.399999999999999" customHeight="1">
      <c r="A9" s="24" t="s">
        <v>503</v>
      </c>
      <c r="B9" s="23"/>
      <c r="C9" s="23"/>
      <c r="D9" s="23"/>
      <c r="E9" s="23"/>
      <c r="F9" s="23"/>
    </row>
    <row r="10" spans="1:6">
      <c r="A10" s="31" t="s">
        <v>504</v>
      </c>
      <c r="B10" s="32"/>
      <c r="C10" s="32"/>
      <c r="D10" s="32"/>
      <c r="E10" s="32"/>
      <c r="F10" s="33"/>
    </row>
    <row r="11" spans="1:6">
      <c r="A11" s="34"/>
      <c r="B11" s="23"/>
      <c r="C11" s="23"/>
      <c r="D11" s="23"/>
      <c r="E11" s="23"/>
      <c r="F11" s="35"/>
    </row>
    <row r="12" spans="1:6">
      <c r="A12" s="34"/>
      <c r="B12" s="23"/>
      <c r="C12" s="23"/>
      <c r="D12" s="23"/>
      <c r="E12" s="23"/>
      <c r="F12" s="35"/>
    </row>
    <row r="13" spans="1:6">
      <c r="A13" s="34"/>
      <c r="B13" s="23"/>
      <c r="C13" s="23"/>
      <c r="D13" s="23"/>
      <c r="E13" s="23"/>
      <c r="F13" s="35"/>
    </row>
    <row r="14" spans="1:6">
      <c r="A14" s="34"/>
      <c r="B14" s="23"/>
      <c r="C14" s="23"/>
      <c r="D14" s="23"/>
      <c r="E14" s="23"/>
      <c r="F14" s="35"/>
    </row>
    <row r="15" spans="1:6">
      <c r="A15" s="34"/>
      <c r="B15" s="23"/>
      <c r="C15" s="23"/>
      <c r="D15" s="23"/>
      <c r="E15" s="23"/>
      <c r="F15" s="35"/>
    </row>
    <row r="16" spans="1:6">
      <c r="A16" s="34"/>
      <c r="B16" s="23"/>
      <c r="C16" s="23"/>
      <c r="D16" s="23"/>
      <c r="E16" s="23"/>
      <c r="F16" s="35"/>
    </row>
    <row r="17" spans="1:6">
      <c r="A17" s="34"/>
      <c r="B17" s="23"/>
      <c r="C17" s="23"/>
      <c r="D17" s="23"/>
      <c r="E17" s="23"/>
      <c r="F17" s="35"/>
    </row>
    <row r="18" spans="1:6">
      <c r="A18" s="34"/>
      <c r="B18" s="23"/>
      <c r="C18" s="23"/>
      <c r="D18" s="23"/>
      <c r="E18" s="23"/>
      <c r="F18" s="35"/>
    </row>
    <row r="19" spans="1:6">
      <c r="A19" s="34"/>
      <c r="B19" s="23"/>
      <c r="C19" s="23"/>
      <c r="D19" s="23"/>
      <c r="E19" s="23"/>
      <c r="F19" s="35"/>
    </row>
    <row r="20" spans="1:6" ht="49.8" customHeight="1">
      <c r="A20" s="36"/>
      <c r="B20" s="37"/>
      <c r="C20" s="37"/>
      <c r="D20" s="37"/>
      <c r="E20" s="37"/>
      <c r="F20" s="38"/>
    </row>
  </sheetData>
  <mergeCells count="3">
    <mergeCell ref="A10:F20"/>
    <mergeCell ref="A1:F1"/>
    <mergeCell ref="A9:F9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34"/>
  <sheetViews>
    <sheetView showGridLines="0" workbookViewId="0">
      <selection sqref="A1:D1"/>
    </sheetView>
  </sheetViews>
  <sheetFormatPr defaultRowHeight="13.8"/>
  <cols>
    <col min="1" max="1" width="11.8984375" customWidth="1"/>
    <col min="2" max="3" width="13.69921875" customWidth="1"/>
    <col min="4" max="4" width="27.5" customWidth="1"/>
  </cols>
  <sheetData>
    <row r="1" spans="1:4" ht="30" customHeight="1">
      <c r="A1" s="39" t="s">
        <v>505</v>
      </c>
      <c r="B1" s="23"/>
      <c r="C1" s="23"/>
      <c r="D1" s="23"/>
    </row>
    <row r="3" spans="1:4" ht="28.05" customHeight="1">
      <c r="A3" s="1" t="s">
        <v>506</v>
      </c>
      <c r="B3" s="1" t="s">
        <v>27</v>
      </c>
      <c r="C3" s="1" t="s">
        <v>507</v>
      </c>
      <c r="D3" s="1" t="s">
        <v>28</v>
      </c>
    </row>
    <row r="4" spans="1:4" ht="15.6" customHeight="1">
      <c r="A4" s="8">
        <v>0</v>
      </c>
      <c r="B4" s="8" t="s">
        <v>42</v>
      </c>
      <c r="C4" s="8" t="s">
        <v>508</v>
      </c>
      <c r="D4" s="2" t="s">
        <v>43</v>
      </c>
    </row>
    <row r="5" spans="1:4" ht="15.6" customHeight="1">
      <c r="A5" s="9">
        <v>1</v>
      </c>
      <c r="B5" s="9" t="s">
        <v>44</v>
      </c>
      <c r="C5" s="9" t="s">
        <v>508</v>
      </c>
      <c r="D5" s="3" t="s">
        <v>45</v>
      </c>
    </row>
    <row r="6" spans="1:4" ht="15.6" customHeight="1">
      <c r="A6" s="9">
        <v>2</v>
      </c>
      <c r="B6" s="9" t="s">
        <v>46</v>
      </c>
      <c r="C6" s="9" t="s">
        <v>508</v>
      </c>
      <c r="D6" s="3" t="s">
        <v>47</v>
      </c>
    </row>
    <row r="7" spans="1:4" ht="15.6" customHeight="1">
      <c r="A7" s="9">
        <v>3</v>
      </c>
      <c r="B7" s="9" t="s">
        <v>92</v>
      </c>
      <c r="C7" s="9" t="s">
        <v>508</v>
      </c>
      <c r="D7" s="3" t="s">
        <v>93</v>
      </c>
    </row>
    <row r="8" spans="1:4" ht="15.6" customHeight="1">
      <c r="A8" s="9">
        <v>4</v>
      </c>
      <c r="B8" s="9" t="s">
        <v>38</v>
      </c>
      <c r="C8" s="9" t="s">
        <v>508</v>
      </c>
      <c r="D8" s="3" t="s">
        <v>39</v>
      </c>
    </row>
    <row r="9" spans="1:4" ht="15.6" customHeight="1">
      <c r="A9" s="9">
        <v>5</v>
      </c>
      <c r="B9" s="9" t="s">
        <v>72</v>
      </c>
      <c r="C9" s="9" t="s">
        <v>508</v>
      </c>
      <c r="D9" s="3" t="s">
        <v>73</v>
      </c>
    </row>
    <row r="10" spans="1:4" ht="15.6" customHeight="1">
      <c r="A10" s="9">
        <v>6</v>
      </c>
      <c r="B10" s="9" t="s">
        <v>52</v>
      </c>
      <c r="C10" s="9" t="s">
        <v>508</v>
      </c>
      <c r="D10" s="3" t="s">
        <v>53</v>
      </c>
    </row>
    <row r="11" spans="1:4" ht="15.6" customHeight="1">
      <c r="A11" s="9">
        <v>7</v>
      </c>
      <c r="B11" s="9" t="s">
        <v>40</v>
      </c>
      <c r="C11" s="9" t="s">
        <v>508</v>
      </c>
      <c r="D11" s="3" t="s">
        <v>41</v>
      </c>
    </row>
    <row r="12" spans="1:4" ht="15.6" customHeight="1">
      <c r="A12" s="9">
        <v>8</v>
      </c>
      <c r="B12" s="9" t="s">
        <v>48</v>
      </c>
      <c r="C12" s="9" t="s">
        <v>508</v>
      </c>
      <c r="D12" s="3" t="s">
        <v>49</v>
      </c>
    </row>
    <row r="13" spans="1:4" ht="15.6" customHeight="1">
      <c r="A13" s="9">
        <v>9</v>
      </c>
      <c r="B13" s="9" t="s">
        <v>88</v>
      </c>
      <c r="C13" s="9" t="s">
        <v>508</v>
      </c>
      <c r="D13" s="3" t="s">
        <v>89</v>
      </c>
    </row>
    <row r="14" spans="1:4" ht="15.6" customHeight="1">
      <c r="A14" s="9">
        <v>10</v>
      </c>
      <c r="B14" s="9" t="s">
        <v>60</v>
      </c>
      <c r="C14" s="9" t="s">
        <v>508</v>
      </c>
      <c r="D14" s="3" t="s">
        <v>61</v>
      </c>
    </row>
    <row r="15" spans="1:4" ht="15.6" customHeight="1">
      <c r="A15" s="9">
        <v>11</v>
      </c>
      <c r="B15" s="9" t="s">
        <v>74</v>
      </c>
      <c r="C15" s="9" t="s">
        <v>508</v>
      </c>
      <c r="D15" s="3" t="s">
        <v>75</v>
      </c>
    </row>
    <row r="16" spans="1:4" ht="15.6" customHeight="1">
      <c r="A16" s="9">
        <v>12</v>
      </c>
      <c r="B16" s="9" t="s">
        <v>76</v>
      </c>
      <c r="C16" s="9" t="s">
        <v>508</v>
      </c>
      <c r="D16" s="3" t="s">
        <v>77</v>
      </c>
    </row>
    <row r="17" spans="1:4" ht="15.6" customHeight="1">
      <c r="A17" s="9">
        <v>13</v>
      </c>
      <c r="B17" s="9" t="s">
        <v>70</v>
      </c>
      <c r="C17" s="9" t="s">
        <v>508</v>
      </c>
      <c r="D17" s="3" t="s">
        <v>71</v>
      </c>
    </row>
    <row r="18" spans="1:4" ht="15.6" customHeight="1">
      <c r="A18" s="9">
        <v>14</v>
      </c>
      <c r="B18" s="9" t="s">
        <v>68</v>
      </c>
      <c r="C18" s="9" t="s">
        <v>508</v>
      </c>
      <c r="D18" s="3" t="s">
        <v>69</v>
      </c>
    </row>
    <row r="19" spans="1:4" ht="15.6" customHeight="1">
      <c r="A19" s="9">
        <v>15</v>
      </c>
      <c r="B19" s="9" t="s">
        <v>66</v>
      </c>
      <c r="C19" s="9" t="s">
        <v>508</v>
      </c>
      <c r="D19" s="3" t="s">
        <v>67</v>
      </c>
    </row>
    <row r="20" spans="1:4" ht="15.6" customHeight="1">
      <c r="A20" s="9">
        <v>16</v>
      </c>
      <c r="B20" s="9" t="s">
        <v>78</v>
      </c>
      <c r="C20" s="9" t="s">
        <v>508</v>
      </c>
      <c r="D20" s="3" t="s">
        <v>79</v>
      </c>
    </row>
    <row r="21" spans="1:4" ht="15.6" customHeight="1">
      <c r="A21" s="9">
        <v>17</v>
      </c>
      <c r="B21" s="9" t="s">
        <v>94</v>
      </c>
      <c r="C21" s="9" t="s">
        <v>508</v>
      </c>
      <c r="D21" s="3" t="s">
        <v>95</v>
      </c>
    </row>
    <row r="22" spans="1:4" ht="15.6" customHeight="1">
      <c r="A22" s="9">
        <v>18</v>
      </c>
      <c r="B22" s="9" t="s">
        <v>50</v>
      </c>
      <c r="C22" s="9" t="s">
        <v>509</v>
      </c>
      <c r="D22" s="3" t="s">
        <v>51</v>
      </c>
    </row>
    <row r="23" spans="1:4" ht="15.6" customHeight="1">
      <c r="A23" s="9">
        <v>19</v>
      </c>
      <c r="B23" s="9" t="s">
        <v>56</v>
      </c>
      <c r="C23" s="9" t="s">
        <v>509</v>
      </c>
      <c r="D23" s="3" t="s">
        <v>57</v>
      </c>
    </row>
    <row r="24" spans="1:4" ht="15.6" customHeight="1">
      <c r="A24" s="9">
        <v>20</v>
      </c>
      <c r="B24" s="9" t="s">
        <v>54</v>
      </c>
      <c r="C24" s="9" t="s">
        <v>509</v>
      </c>
      <c r="D24" s="3" t="s">
        <v>55</v>
      </c>
    </row>
    <row r="25" spans="1:4" ht="15.6" customHeight="1">
      <c r="A25" s="9">
        <v>21</v>
      </c>
      <c r="B25" s="9" t="s">
        <v>96</v>
      </c>
      <c r="C25" s="9" t="s">
        <v>509</v>
      </c>
      <c r="D25" s="3" t="s">
        <v>97</v>
      </c>
    </row>
    <row r="26" spans="1:4" ht="15.6" customHeight="1">
      <c r="A26" s="9">
        <v>22</v>
      </c>
      <c r="B26" s="9" t="s">
        <v>90</v>
      </c>
      <c r="C26" s="9" t="s">
        <v>509</v>
      </c>
      <c r="D26" s="3" t="s">
        <v>91</v>
      </c>
    </row>
    <row r="27" spans="1:4" ht="15.6" customHeight="1">
      <c r="A27" s="9">
        <v>23</v>
      </c>
      <c r="B27" s="9" t="s">
        <v>62</v>
      </c>
      <c r="C27" s="9" t="s">
        <v>509</v>
      </c>
      <c r="D27" s="3" t="s">
        <v>63</v>
      </c>
    </row>
    <row r="28" spans="1:4" ht="15.6" customHeight="1">
      <c r="A28" s="9">
        <v>24</v>
      </c>
      <c r="B28" s="9" t="s">
        <v>510</v>
      </c>
      <c r="C28" s="9" t="s">
        <v>509</v>
      </c>
      <c r="D28" s="3" t="s">
        <v>511</v>
      </c>
    </row>
    <row r="29" spans="1:4" ht="15.6" customHeight="1">
      <c r="A29" s="9">
        <v>25</v>
      </c>
      <c r="B29" s="9" t="s">
        <v>86</v>
      </c>
      <c r="C29" s="9" t="s">
        <v>512</v>
      </c>
      <c r="D29" s="3" t="s">
        <v>87</v>
      </c>
    </row>
    <row r="30" spans="1:4" ht="15.6" customHeight="1">
      <c r="A30" s="9">
        <v>26</v>
      </c>
      <c r="B30" s="9" t="s">
        <v>58</v>
      </c>
      <c r="C30" s="9" t="s">
        <v>59</v>
      </c>
      <c r="D30" s="3" t="s">
        <v>59</v>
      </c>
    </row>
    <row r="31" spans="1:4" ht="15.6" customHeight="1">
      <c r="A31" s="9">
        <v>27</v>
      </c>
      <c r="B31" s="9" t="s">
        <v>64</v>
      </c>
      <c r="C31" s="9" t="s">
        <v>512</v>
      </c>
      <c r="D31" s="3" t="s">
        <v>65</v>
      </c>
    </row>
    <row r="32" spans="1:4" ht="15.6" customHeight="1">
      <c r="A32" s="9">
        <v>28</v>
      </c>
      <c r="B32" s="9" t="s">
        <v>84</v>
      </c>
      <c r="C32" s="9" t="s">
        <v>512</v>
      </c>
      <c r="D32" s="3" t="s">
        <v>85</v>
      </c>
    </row>
    <row r="33" spans="1:4" ht="15.6" customHeight="1">
      <c r="A33" s="9">
        <v>29</v>
      </c>
      <c r="B33" s="9" t="s">
        <v>82</v>
      </c>
      <c r="C33" s="9" t="s">
        <v>512</v>
      </c>
      <c r="D33" s="3" t="s">
        <v>83</v>
      </c>
    </row>
    <row r="34" spans="1:4" ht="15.6" customHeight="1">
      <c r="A34" s="10">
        <v>30</v>
      </c>
      <c r="B34" s="10" t="s">
        <v>80</v>
      </c>
      <c r="C34" s="9" t="s">
        <v>512</v>
      </c>
      <c r="D34" s="4" t="s">
        <v>81</v>
      </c>
    </row>
  </sheetData>
  <mergeCells count="1">
    <mergeCell ref="A1:D1"/>
  </mergeCells>
  <phoneticPr fontId="8" type="noConversion"/>
  <conditionalFormatting sqref="B4:B34">
    <cfRule type="uniqu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요약</vt:lpstr>
      <vt:lpstr>결함별 합계</vt:lpstr>
      <vt:lpstr>상세 현황</vt:lpstr>
      <vt:lpstr>폴더 구조</vt:lpstr>
      <vt:lpstr>클래스 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</cp:lastModifiedBy>
  <dcterms:created xsi:type="dcterms:W3CDTF">2026-07-16T00:24:57Z</dcterms:created>
  <dcterms:modified xsi:type="dcterms:W3CDTF">2026-07-16T00:41:11Z</dcterms:modified>
</cp:coreProperties>
</file>