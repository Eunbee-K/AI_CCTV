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E:\AI_CCTV_PROJECT\docs\"/>
    </mc:Choice>
  </mc:AlternateContent>
  <xr:revisionPtr revIDLastSave="0" documentId="13_ncr:1_{E5A3F9E2-4EBB-47EB-B5D4-8BC3326217CC}" xr6:coauthVersionLast="47" xr6:coauthVersionMax="47" xr10:uidLastSave="{00000000-0000-0000-0000-000000000000}"/>
  <bookViews>
    <workbookView xWindow="28680" yWindow="-7965" windowWidth="29040" windowHeight="15720" firstSheet="1" activeTab="5" xr2:uid="{304D134B-66FB-492B-A09B-96E4705965A3}"/>
  </bookViews>
  <sheets>
    <sheet name="bbox data" sheetId="1" r:id="rId1"/>
    <sheet name="bbox_total" sheetId="3" r:id="rId2"/>
    <sheet name="seg data" sheetId="5" r:id="rId3"/>
    <sheet name="seg_total" sheetId="6" r:id="rId4"/>
    <sheet name="Sheet4" sheetId="4" r:id="rId5"/>
    <sheet name="test3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6" l="1"/>
  <c r="E12" i="6"/>
  <c r="E15" i="6"/>
  <c r="E16" i="6"/>
  <c r="E23" i="6"/>
  <c r="E24" i="6"/>
  <c r="E26" i="6"/>
  <c r="E27" i="6"/>
  <c r="E3" i="6"/>
  <c r="D4" i="6"/>
  <c r="D5" i="6"/>
  <c r="D12" i="6"/>
  <c r="D13" i="6"/>
  <c r="D15" i="6"/>
  <c r="D16" i="6"/>
  <c r="D17" i="6"/>
  <c r="D23" i="6"/>
  <c r="D24" i="6"/>
  <c r="D26" i="6"/>
  <c r="D3" i="6"/>
  <c r="C4" i="6"/>
  <c r="C5" i="6"/>
  <c r="C6" i="6"/>
  <c r="F6" i="6" s="1"/>
  <c r="C7" i="6"/>
  <c r="F7" i="6" s="1"/>
  <c r="C8" i="6"/>
  <c r="F8" i="6" s="1"/>
  <c r="C9" i="6"/>
  <c r="C10" i="6"/>
  <c r="C11" i="6"/>
  <c r="C12" i="6"/>
  <c r="F12" i="6" s="1"/>
  <c r="C13" i="6"/>
  <c r="F13" i="6" s="1"/>
  <c r="C14" i="6"/>
  <c r="F14" i="6" s="1"/>
  <c r="C15" i="6"/>
  <c r="F15" i="6" s="1"/>
  <c r="C16" i="6"/>
  <c r="F16" i="6" s="1"/>
  <c r="C17" i="6"/>
  <c r="C18" i="6"/>
  <c r="F18" i="6" s="1"/>
  <c r="C19" i="6"/>
  <c r="F19" i="6" s="1"/>
  <c r="C20" i="6"/>
  <c r="C21" i="6"/>
  <c r="C22" i="6"/>
  <c r="C23" i="6"/>
  <c r="C24" i="6"/>
  <c r="C25" i="6"/>
  <c r="C26" i="6"/>
  <c r="C3" i="6"/>
  <c r="F4" i="6"/>
  <c r="L5" i="3"/>
  <c r="S5" i="3" s="1"/>
  <c r="L12" i="3"/>
  <c r="L15" i="3"/>
  <c r="L16" i="3"/>
  <c r="L23" i="3"/>
  <c r="L24" i="3"/>
  <c r="L26" i="3"/>
  <c r="S26" i="3" s="1"/>
  <c r="L27" i="3"/>
  <c r="K5" i="3"/>
  <c r="K12" i="3"/>
  <c r="K15" i="3"/>
  <c r="K16" i="3"/>
  <c r="K23" i="3"/>
  <c r="K24" i="3"/>
  <c r="K26" i="3"/>
  <c r="K27" i="3"/>
  <c r="L3" i="3"/>
  <c r="S3" i="3" s="1"/>
  <c r="K3" i="3"/>
  <c r="J4" i="3"/>
  <c r="J5" i="3"/>
  <c r="J12" i="3"/>
  <c r="J13" i="3"/>
  <c r="J15" i="3"/>
  <c r="J16" i="3"/>
  <c r="J17" i="3"/>
  <c r="J23" i="3"/>
  <c r="J24" i="3"/>
  <c r="J26" i="3"/>
  <c r="J3" i="3"/>
  <c r="I4" i="3"/>
  <c r="I5" i="3"/>
  <c r="R5" i="3" s="1"/>
  <c r="I6" i="3"/>
  <c r="I7" i="3"/>
  <c r="I8" i="3"/>
  <c r="I9" i="3"/>
  <c r="I10" i="3"/>
  <c r="E25" i="3" s="1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E23" i="3" s="1"/>
  <c r="I26" i="3"/>
  <c r="I3" i="3"/>
  <c r="R3" i="3" s="1"/>
  <c r="E4" i="3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4" i="1"/>
  <c r="E13" i="3"/>
  <c r="E14" i="3"/>
  <c r="E15" i="3"/>
  <c r="E16" i="3"/>
  <c r="E17" i="3"/>
  <c r="E19" i="3"/>
  <c r="E20" i="3"/>
  <c r="E21" i="3"/>
  <c r="E22" i="3"/>
  <c r="E24" i="3"/>
  <c r="E26" i="3"/>
  <c r="E5" i="3"/>
  <c r="E7" i="3"/>
  <c r="E8" i="3"/>
  <c r="E9" i="3"/>
  <c r="E10" i="3"/>
  <c r="E11" i="3"/>
  <c r="E12" i="3"/>
  <c r="E3" i="3"/>
  <c r="F5" i="6" l="1"/>
  <c r="F9" i="6"/>
  <c r="F10" i="6"/>
  <c r="F11" i="6"/>
  <c r="F20" i="6"/>
  <c r="F21" i="6"/>
  <c r="F22" i="6"/>
  <c r="F23" i="6"/>
  <c r="F24" i="6"/>
  <c r="F25" i="6"/>
  <c r="F26" i="6"/>
  <c r="F3" i="6"/>
  <c r="F27" i="6"/>
  <c r="F17" i="6"/>
  <c r="M4" i="3"/>
  <c r="M6" i="3"/>
  <c r="M7" i="3"/>
  <c r="M8" i="3"/>
  <c r="M9" i="3"/>
  <c r="M10" i="3"/>
  <c r="M11" i="3"/>
  <c r="M13" i="3"/>
  <c r="M14" i="3"/>
  <c r="E18" i="3"/>
  <c r="M17" i="3"/>
  <c r="M18" i="3"/>
  <c r="M19" i="3"/>
  <c r="M20" i="3"/>
  <c r="M21" i="3"/>
  <c r="M22" i="3"/>
  <c r="M25" i="3"/>
  <c r="R26" i="3"/>
  <c r="E6" i="3"/>
  <c r="Q15" i="3"/>
  <c r="M15" i="3"/>
  <c r="M16" i="3"/>
  <c r="M12" i="3"/>
  <c r="Q5" i="3"/>
  <c r="M5" i="3"/>
  <c r="M23" i="3"/>
  <c r="M24" i="3"/>
  <c r="Q26" i="3"/>
  <c r="M26" i="3"/>
  <c r="M27" i="3"/>
  <c r="Q3" i="3"/>
  <c r="R33" i="3" s="1"/>
  <c r="M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tc={828B3020-7135-4CA9-8FFD-FCE19B163CA8}</author>
    <author>tc={B9035AF3-F1E8-44AC-BBC6-E46B722DED77}</author>
    <author>tc={8097F6C9-F1E7-4009-B9D2-214FE904BD50}</author>
    <author>tc={E2BE5573-C892-4BA0-8AA4-081DBFB330B2}</author>
  </authors>
  <commentList>
    <comment ref="Q12" authorId="0" shapeId="0" xr:uid="{828B3020-7135-4CA9-8FFD-FCE19B163CA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Test, val 다음 16000장</t>
      </text>
    </comment>
    <comment ref="R12" authorId="1" shapeId="0" xr:uid="{B9035AF3-F1E8-44AC-BBC6-E46B722DED77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가장 앞 2000장
</t>
      </text>
    </comment>
    <comment ref="S12" authorId="2" shapeId="0" xr:uid="{8097F6C9-F1E7-4009-B9D2-214FE904BD5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Test 다음 2000장</t>
      </text>
    </comment>
    <comment ref="R33" authorId="3" shapeId="0" xr:uid="{E2BE5573-C892-4BA0-8AA4-081DBFB330B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정상/결함 비율(15~25% 적정)</t>
      </text>
    </comment>
  </commentList>
</comments>
</file>

<file path=xl/sharedStrings.xml><?xml version="1.0" encoding="utf-8"?>
<sst xmlns="http://schemas.openxmlformats.org/spreadsheetml/2006/main" count="572" uniqueCount="171">
  <si>
    <t>서울시 data</t>
    <phoneticPr fontId="2" type="noConversion"/>
  </si>
  <si>
    <t>AI hub</t>
    <phoneticPr fontId="2" type="noConversion"/>
  </si>
  <si>
    <t>1-1-1.균열-길이(Crack-Longitudinal,CL)</t>
  </si>
  <si>
    <t>1-1-2.균열-원주(Crack-Circumferential,CC)</t>
  </si>
  <si>
    <t>1-2.표면손상(Surface-Damage,SD)</t>
    <phoneticPr fontId="2" type="noConversion"/>
  </si>
  <si>
    <t>1-3.파손(Broken-Pipe,BK)</t>
  </si>
  <si>
    <t>1-4.연결관-돌출(Lateral-Protruding,LP)</t>
  </si>
  <si>
    <t>1-5.이음부-손상(Joint-Faulty,JF)</t>
  </si>
  <si>
    <t>1-6.이음부-단차(Joint-Displaced,JD)_1</t>
  </si>
  <si>
    <t>1-6.이음부-단차(Joint-Displaced,JD)_2</t>
  </si>
  <si>
    <t>1-7.토사퇴적(Deposits-Silty,DS)</t>
  </si>
  <si>
    <t>1-8.기타결함(Etc.,ETC)</t>
  </si>
  <si>
    <t>2-1.이음부(Pipe-Joint,PJ)_1</t>
  </si>
  <si>
    <t>2-1.이음부(Pipe-Joint,PJ)_2</t>
  </si>
  <si>
    <t>2-2.하수관로_내부(Inside,IN)_1</t>
  </si>
  <si>
    <t>2-2.하수관로_내부(Inside,IN)_2</t>
  </si>
  <si>
    <t>2-2.하수관로_내부(Inside,IN)_3</t>
  </si>
  <si>
    <t>2-3-1.하수관로_외부_맨홀</t>
  </si>
  <si>
    <t>2-3-2.하수관로_외부_인버트</t>
  </si>
  <si>
    <t>2-3-3.하수관로_외부_자동차</t>
  </si>
  <si>
    <t>균열(길이)</t>
  </si>
  <si>
    <t>균열(복합)</t>
  </si>
  <si>
    <t>균열(원주)</t>
  </si>
  <si>
    <t>내피생성</t>
  </si>
  <si>
    <t>라이닝결함</t>
    <phoneticPr fontId="2" type="noConversion"/>
  </si>
  <si>
    <t>변형(단면형태변화)</t>
  </si>
  <si>
    <t>붕괴</t>
  </si>
  <si>
    <t>뿌리침입</t>
  </si>
  <si>
    <t>역경사</t>
  </si>
  <si>
    <t>연결관(돌출)</t>
  </si>
  <si>
    <t>연결관(접합부이상)</t>
  </si>
  <si>
    <t>영구장애물</t>
  </si>
  <si>
    <t>이음부(단차)</t>
  </si>
  <si>
    <t>이음부(손상)</t>
  </si>
  <si>
    <t>이음부(이탈)</t>
  </si>
  <si>
    <t>임시장애물</t>
  </si>
  <si>
    <t>좌굴</t>
  </si>
  <si>
    <t>천공</t>
  </si>
  <si>
    <t>침입수</t>
  </si>
  <si>
    <t>침하</t>
  </si>
  <si>
    <t>토사퇴적</t>
  </si>
  <si>
    <t>파손</t>
  </si>
  <si>
    <t>폐유부착</t>
  </si>
  <si>
    <t>표면손상</t>
  </si>
  <si>
    <t>01균열길이(CL)</t>
  </si>
  <si>
    <t>02균열복합(CM)</t>
  </si>
  <si>
    <t>03균열원주(CC)</t>
  </si>
  <si>
    <t>04표면손상(SD)</t>
  </si>
  <si>
    <t>05파손(BK)</t>
  </si>
  <si>
    <t>06연결관돌출(LP)</t>
  </si>
  <si>
    <t>07연결관접합부(LS)</t>
  </si>
  <si>
    <t>08이음부단차(JD)</t>
  </si>
  <si>
    <t>09이음부손상(JF)</t>
  </si>
  <si>
    <t>10이음부이탈(JS)</t>
  </si>
  <si>
    <t>11토사퇴적(DS)</t>
  </si>
  <si>
    <t>균열</t>
    <phoneticPr fontId="2" type="noConversion"/>
  </si>
  <si>
    <t>원주</t>
    <phoneticPr fontId="2" type="noConversion"/>
  </si>
  <si>
    <t>길이</t>
    <phoneticPr fontId="2" type="noConversion"/>
  </si>
  <si>
    <t>CC</t>
  </si>
  <si>
    <t>CC</t>
    <phoneticPr fontId="2" type="noConversion"/>
  </si>
  <si>
    <t>CL</t>
  </si>
  <si>
    <t>CL</t>
    <phoneticPr fontId="2" type="noConversion"/>
  </si>
  <si>
    <t>CM</t>
  </si>
  <si>
    <t>CM</t>
    <phoneticPr fontId="2" type="noConversion"/>
  </si>
  <si>
    <t>복합</t>
    <phoneticPr fontId="2" type="noConversion"/>
  </si>
  <si>
    <t>표면손상</t>
    <phoneticPr fontId="2" type="noConversion"/>
  </si>
  <si>
    <t>SD</t>
  </si>
  <si>
    <t>SD</t>
    <phoneticPr fontId="2" type="noConversion"/>
  </si>
  <si>
    <t>BC</t>
    <phoneticPr fontId="2" type="noConversion"/>
  </si>
  <si>
    <t>LD</t>
    <phoneticPr fontId="2" type="noConversion"/>
  </si>
  <si>
    <t>DF</t>
    <phoneticPr fontId="2" type="noConversion"/>
  </si>
  <si>
    <t>BK</t>
  </si>
  <si>
    <t>BK</t>
    <phoneticPr fontId="2" type="noConversion"/>
  </si>
  <si>
    <t>좌굴</t>
    <phoneticPr fontId="2" type="noConversion"/>
  </si>
  <si>
    <t>라이닝 결함</t>
    <phoneticPr fontId="2" type="noConversion"/>
  </si>
  <si>
    <t>변형</t>
    <phoneticPr fontId="2" type="noConversion"/>
  </si>
  <si>
    <t>파손</t>
    <phoneticPr fontId="2" type="noConversion"/>
  </si>
  <si>
    <t>붕괴</t>
    <phoneticPr fontId="2" type="noConversion"/>
  </si>
  <si>
    <t>CX</t>
    <phoneticPr fontId="2" type="noConversion"/>
  </si>
  <si>
    <t>영구장애물</t>
    <phoneticPr fontId="2" type="noConversion"/>
  </si>
  <si>
    <t>천공</t>
    <phoneticPr fontId="2" type="noConversion"/>
  </si>
  <si>
    <t>PO</t>
    <phoneticPr fontId="2" type="noConversion"/>
  </si>
  <si>
    <t>HL</t>
    <phoneticPr fontId="2" type="noConversion"/>
  </si>
  <si>
    <t>연결관</t>
    <phoneticPr fontId="2" type="noConversion"/>
  </si>
  <si>
    <t>돌출</t>
    <phoneticPr fontId="2" type="noConversion"/>
  </si>
  <si>
    <t>접합부 이상</t>
    <phoneticPr fontId="2" type="noConversion"/>
  </si>
  <si>
    <t>이탈</t>
    <phoneticPr fontId="2" type="noConversion"/>
  </si>
  <si>
    <t>손상</t>
    <phoneticPr fontId="2" type="noConversion"/>
  </si>
  <si>
    <t>단차</t>
    <phoneticPr fontId="2" type="noConversion"/>
  </si>
  <si>
    <t>이음부</t>
    <phoneticPr fontId="2" type="noConversion"/>
  </si>
  <si>
    <t>역경사</t>
    <phoneticPr fontId="2" type="noConversion"/>
  </si>
  <si>
    <t>침하</t>
    <phoneticPr fontId="2" type="noConversion"/>
  </si>
  <si>
    <t>LP</t>
  </si>
  <si>
    <t>LP</t>
    <phoneticPr fontId="2" type="noConversion"/>
  </si>
  <si>
    <t>LS</t>
  </si>
  <si>
    <t>LS</t>
    <phoneticPr fontId="2" type="noConversion"/>
  </si>
  <si>
    <t>JS</t>
  </si>
  <si>
    <t>JS</t>
    <phoneticPr fontId="2" type="noConversion"/>
  </si>
  <si>
    <t>JF</t>
  </si>
  <si>
    <t>JF</t>
    <phoneticPr fontId="2" type="noConversion"/>
  </si>
  <si>
    <t>JD</t>
  </si>
  <si>
    <t>JD</t>
    <phoneticPr fontId="2" type="noConversion"/>
  </si>
  <si>
    <t>NS</t>
    <phoneticPr fontId="2" type="noConversion"/>
  </si>
  <si>
    <t>SG</t>
    <phoneticPr fontId="2" type="noConversion"/>
  </si>
  <si>
    <t>DS</t>
  </si>
  <si>
    <t>DS</t>
    <phoneticPr fontId="2" type="noConversion"/>
  </si>
  <si>
    <t>구조결함</t>
    <phoneticPr fontId="2" type="noConversion"/>
  </si>
  <si>
    <t>운영결함</t>
    <phoneticPr fontId="2" type="noConversion"/>
  </si>
  <si>
    <t>내피생성</t>
    <phoneticPr fontId="2" type="noConversion"/>
  </si>
  <si>
    <t>토사퇴적</t>
    <phoneticPr fontId="2" type="noConversion"/>
  </si>
  <si>
    <t>폐유부착</t>
    <phoneticPr fontId="2" type="noConversion"/>
  </si>
  <si>
    <t>임시장애물</t>
    <phoneticPr fontId="2" type="noConversion"/>
  </si>
  <si>
    <t>뿌리침입</t>
    <phoneticPr fontId="2" type="noConversion"/>
  </si>
  <si>
    <t>침입수</t>
    <phoneticPr fontId="2" type="noConversion"/>
  </si>
  <si>
    <t>막힘</t>
    <phoneticPr fontId="2" type="noConversion"/>
  </si>
  <si>
    <t>DE</t>
    <phoneticPr fontId="2" type="noConversion"/>
  </si>
  <si>
    <t>DG</t>
    <phoneticPr fontId="2" type="noConversion"/>
  </si>
  <si>
    <t>TO</t>
    <phoneticPr fontId="2" type="noConversion"/>
  </si>
  <si>
    <t>RT</t>
    <phoneticPr fontId="2" type="noConversion"/>
  </si>
  <si>
    <t>IF</t>
    <phoneticPr fontId="2" type="noConversion"/>
  </si>
  <si>
    <t>PB</t>
    <phoneticPr fontId="2" type="noConversion"/>
  </si>
  <si>
    <t>*PB(막힘)제외 전부 있음</t>
    <phoneticPr fontId="2" type="noConversion"/>
  </si>
  <si>
    <t>정상</t>
    <phoneticPr fontId="2" type="noConversion"/>
  </si>
  <si>
    <t>사진</t>
    <phoneticPr fontId="2" type="noConversion"/>
  </si>
  <si>
    <t>라벨</t>
    <phoneticPr fontId="2" type="noConversion"/>
  </si>
  <si>
    <t>데이터 전처리</t>
    <phoneticPr fontId="2" type="noConversion"/>
  </si>
  <si>
    <t>미탐 재학습</t>
    <phoneticPr fontId="2" type="noConversion"/>
  </si>
  <si>
    <t>하수관로 상태등급 매뉴얼 기준(25종)</t>
    <phoneticPr fontId="2" type="noConversion"/>
  </si>
  <si>
    <t>seg</t>
    <phoneticPr fontId="2" type="noConversion"/>
  </si>
  <si>
    <t>val</t>
    <phoneticPr fontId="2" type="noConversion"/>
  </si>
  <si>
    <t>test</t>
    <phoneticPr fontId="2" type="noConversion"/>
  </si>
  <si>
    <t>서울시</t>
    <phoneticPr fontId="2" type="noConversion"/>
  </si>
  <si>
    <t>AI HUB</t>
    <phoneticPr fontId="2" type="noConversion"/>
  </si>
  <si>
    <t>train</t>
    <phoneticPr fontId="2" type="noConversion"/>
  </si>
  <si>
    <t>ETC</t>
    <phoneticPr fontId="2" type="noConversion"/>
  </si>
  <si>
    <t>sum</t>
    <phoneticPr fontId="2" type="noConversion"/>
  </si>
  <si>
    <t>-&gt;잘보이게 하는 방안(관 색깔 바꾸기l(대비)</t>
    <phoneticPr fontId="2" type="noConversion"/>
  </si>
  <si>
    <t>model test2</t>
    <phoneticPr fontId="2" type="noConversion"/>
  </si>
  <si>
    <t>PJ</t>
    <phoneticPr fontId="2" type="noConversion"/>
  </si>
  <si>
    <t>IN</t>
    <phoneticPr fontId="2" type="noConversion"/>
  </si>
  <si>
    <t>OUT</t>
    <phoneticPr fontId="2" type="noConversion"/>
  </si>
  <si>
    <t>OUT_맨홀</t>
    <phoneticPr fontId="2" type="noConversion"/>
  </si>
  <si>
    <t>OUT_인버트</t>
    <phoneticPr fontId="2" type="noConversion"/>
  </si>
  <si>
    <t>OUT_자동차</t>
    <phoneticPr fontId="2" type="noConversion"/>
  </si>
  <si>
    <t>결함</t>
    <phoneticPr fontId="2" type="noConversion"/>
  </si>
  <si>
    <t>장수</t>
    <phoneticPr fontId="2" type="noConversion"/>
  </si>
  <si>
    <t>val 쪼갬</t>
    <phoneticPr fontId="2" type="noConversion"/>
  </si>
  <si>
    <t>이음부(정상)</t>
    <phoneticPr fontId="2" type="noConversion"/>
  </si>
  <si>
    <t>test 쪼갬</t>
    <phoneticPr fontId="2" type="noConversion"/>
  </si>
  <si>
    <t>OUT_MH</t>
    <phoneticPr fontId="2" type="noConversion"/>
  </si>
  <si>
    <t>OUT_INVERT</t>
    <phoneticPr fontId="2" type="noConversion"/>
  </si>
  <si>
    <t>OUT_CAR</t>
    <phoneticPr fontId="2" type="noConversion"/>
  </si>
  <si>
    <t>1-6.이음부-단차(Joint-Displaced,JD)</t>
    <phoneticPr fontId="2" type="noConversion"/>
  </si>
  <si>
    <t>코드</t>
  </si>
  <si>
    <t>결함 종류</t>
  </si>
  <si>
    <t>보유 BBOX</t>
  </si>
  <si>
    <t>사용 수</t>
  </si>
  <si>
    <t>Train</t>
  </si>
  <si>
    <t>Val</t>
  </si>
  <si>
    <t>Test</t>
  </si>
  <si>
    <t>HL</t>
  </si>
  <si>
    <t>연결관(접합부 이상)</t>
  </si>
  <si>
    <t>PO</t>
  </si>
  <si>
    <t>RT</t>
  </si>
  <si>
    <t>SG</t>
  </si>
  <si>
    <t>TO</t>
  </si>
  <si>
    <t>PJ</t>
  </si>
  <si>
    <t>이음부(정상)</t>
  </si>
  <si>
    <t>IN</t>
  </si>
  <si>
    <t>하수관로 내부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</si>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</sst>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2" borderId="3" xfId="0" applyFont="1" applyFill="1" applyBorder="1">
      <alignment vertical="center"/>
    </xf>
    <xf numFmtId="0" fontId="4" fillId="0" borderId="3" xfId="0" applyFont="1" applyBorder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0" fontId="0" fillId="0" borderId="7" xfId="0" applyBorder="1">
      <alignment vertical="center"/>
    </xf>
    <xf numFmtId="0" fontId="0" fillId="3" borderId="7" xfId="0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6" borderId="19" xfId="0" applyFill="1" applyBorder="1">
      <alignment vertical="center"/>
    </xf>
    <xf numFmtId="0" fontId="0" fillId="6" borderId="20" xfId="0" applyFill="1" applyBorder="1">
      <alignment vertical="center"/>
    </xf>
    <xf numFmtId="0" fontId="0" fillId="6" borderId="21" xfId="0" applyFill="1" applyBorder="1">
      <alignment vertical="center"/>
    </xf>
    <xf numFmtId="0" fontId="0" fillId="6" borderId="25" xfId="0" applyFill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3" borderId="27" xfId="0" applyFill="1" applyBorder="1">
      <alignment vertical="center"/>
    </xf>
    <xf numFmtId="0" fontId="0" fillId="3" borderId="14" xfId="0" applyFill="1" applyBorder="1">
      <alignment vertical="center"/>
    </xf>
    <xf numFmtId="0" fontId="0" fillId="0" borderId="30" xfId="0" applyBorder="1">
      <alignment vertical="center"/>
    </xf>
    <xf numFmtId="0" fontId="1" fillId="4" borderId="7" xfId="0" applyFont="1" applyFill="1" applyBorder="1">
      <alignment vertical="center"/>
    </xf>
    <xf numFmtId="0" fontId="1" fillId="4" borderId="11" xfId="0" applyFont="1" applyFill="1" applyBorder="1">
      <alignment vertical="center"/>
    </xf>
    <xf numFmtId="0" fontId="1" fillId="4" borderId="12" xfId="0" applyFont="1" applyFill="1" applyBorder="1">
      <alignment vertical="center"/>
    </xf>
    <xf numFmtId="0" fontId="1" fillId="4" borderId="13" xfId="0" applyFont="1" applyFill="1" applyBorder="1">
      <alignment vertical="center"/>
    </xf>
    <xf numFmtId="0" fontId="1" fillId="4" borderId="14" xfId="0" applyFont="1" applyFill="1" applyBorder="1">
      <alignment vertical="center"/>
    </xf>
    <xf numFmtId="0" fontId="1" fillId="4" borderId="15" xfId="0" applyFont="1" applyFill="1" applyBorder="1">
      <alignment vertical="center"/>
    </xf>
    <xf numFmtId="0" fontId="0" fillId="6" borderId="32" xfId="0" applyFill="1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3" borderId="34" xfId="0" applyFill="1" applyBorder="1">
      <alignment vertical="center"/>
    </xf>
    <xf numFmtId="0" fontId="0" fillId="0" borderId="35" xfId="0" applyBorder="1">
      <alignment vertical="center"/>
    </xf>
    <xf numFmtId="0" fontId="0" fillId="2" borderId="7" xfId="0" applyFill="1" applyBorder="1">
      <alignment vertical="center"/>
    </xf>
    <xf numFmtId="0" fontId="0" fillId="2" borderId="14" xfId="0" applyFill="1" applyBorder="1">
      <alignment vertical="center"/>
    </xf>
    <xf numFmtId="0" fontId="0" fillId="3" borderId="17" xfId="0" applyFill="1" applyBorder="1">
      <alignment vertical="center"/>
    </xf>
    <xf numFmtId="0" fontId="5" fillId="6" borderId="0" xfId="0" applyFont="1" applyFill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0" fillId="7" borderId="8" xfId="0" applyFill="1" applyBorder="1">
      <alignment vertical="center"/>
    </xf>
    <xf numFmtId="0" fontId="0" fillId="7" borderId="19" xfId="0" applyFill="1" applyBorder="1">
      <alignment vertical="center"/>
    </xf>
    <xf numFmtId="0" fontId="0" fillId="7" borderId="21" xfId="0" applyFill="1" applyBorder="1">
      <alignment vertical="center"/>
    </xf>
    <xf numFmtId="0" fontId="0" fillId="5" borderId="33" xfId="0" applyFill="1" applyBorder="1">
      <alignment vertical="center"/>
    </xf>
    <xf numFmtId="0" fontId="6" fillId="0" borderId="7" xfId="0" applyFont="1" applyBorder="1">
      <alignment vertical="center"/>
    </xf>
    <xf numFmtId="0" fontId="6" fillId="0" borderId="17" xfId="0" applyFont="1" applyBorder="1">
      <alignment vertical="center"/>
    </xf>
    <xf numFmtId="0" fontId="0" fillId="7" borderId="36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3" fontId="5" fillId="0" borderId="0" xfId="0" applyNumberFormat="1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217715</xdr:colOff>
      <xdr:row>2</xdr:row>
      <xdr:rowOff>21771</xdr:rowOff>
    </xdr:from>
    <xdr:to>
      <xdr:col>28</xdr:col>
      <xdr:colOff>445772</xdr:colOff>
      <xdr:row>9</xdr:row>
      <xdr:rowOff>178672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DC9DDFE-40C0-6632-8E5F-AD5696EB5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1086" y="468085"/>
          <a:ext cx="6302286" cy="169178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MSUNG" id="{6913E16A-F8C6-4AEB-9D1D-84567B150DA2}" userId="SAMSUNG" providerId="Non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2" dT="2026-07-08T11:00:45.98" personId="{6913E16A-F8C6-4AEB-9D1D-84567B150DA2}" id="{828B3020-7135-4CA9-8FFD-FCE19B163CA8}">
    <text>Test, val 다음 16000장</text>
  </threadedComment>
  <threadedComment ref="R12" dT="2026-07-08T11:00:03.09" personId="{6913E16A-F8C6-4AEB-9D1D-84567B150DA2}" id="{B9035AF3-F1E8-44AC-BBC6-E46B722DED77}">
    <text xml:space="preserve">가장 앞 2000장
</text>
  </threadedComment>
  <threadedComment ref="S12" dT="2026-07-08T11:00:29.42" personId="{6913E16A-F8C6-4AEB-9D1D-84567B150DA2}" id="{8097F6C9-F1E7-4009-B9D2-214FE904BD50}">
    <text>Test 다음 2000장</text>
  </threadedComment>
  <threadedComment ref="R33" dT="2026-07-05T08:02:22.29" personId="{6913E16A-F8C6-4AEB-9D1D-84567B150DA2}" id="{E2BE5573-C892-4BA0-8AA4-081DBFB330B2}">
    <text>정상/결함 비율(15~25% 적정)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CD54-40DB-4F6E-8FED-B969ED36F793}">
  <sheetPr codeName="Sheet1"/>
  <dimension ref="A1:Y27"/>
  <sheetViews>
    <sheetView zoomScale="70" zoomScaleNormal="70" workbookViewId="0">
      <selection activeCell="C22" sqref="C22"/>
    </sheetView>
  </sheetViews>
  <sheetFormatPr defaultRowHeight="17.399999999999999" x14ac:dyDescent="0.4"/>
  <cols>
    <col min="2" max="2" width="17.3984375" bestFit="1" customWidth="1"/>
    <col min="3" max="3" width="21.8984375" bestFit="1" customWidth="1"/>
    <col min="4" max="4" width="5.3984375" bestFit="1" customWidth="1"/>
    <col min="6" max="6" width="17.69921875" bestFit="1" customWidth="1"/>
    <col min="8" max="8" width="8.796875" hidden="1" customWidth="1"/>
    <col min="11" max="11" width="37.09765625" bestFit="1" customWidth="1"/>
  </cols>
  <sheetData>
    <row r="1" spans="1:25" ht="18" thickBot="1" x14ac:dyDescent="0.45"/>
    <row r="2" spans="1:25" s="14" customFormat="1" x14ac:dyDescent="0.4">
      <c r="A2" s="67" t="s">
        <v>0</v>
      </c>
      <c r="B2" s="68"/>
      <c r="C2" s="68"/>
      <c r="D2" s="68"/>
      <c r="E2" s="68"/>
      <c r="F2" s="68"/>
      <c r="G2" s="68"/>
      <c r="H2" s="68"/>
      <c r="I2" s="68"/>
      <c r="J2" s="65" t="s">
        <v>1</v>
      </c>
      <c r="K2" s="66"/>
      <c r="L2" s="66"/>
      <c r="M2" s="66"/>
      <c r="N2" s="51"/>
      <c r="O2" s="52"/>
      <c r="P2" s="50"/>
      <c r="R2" s="69" t="s">
        <v>127</v>
      </c>
      <c r="S2" s="70"/>
      <c r="T2" s="70"/>
      <c r="U2" s="70"/>
      <c r="V2" s="70"/>
      <c r="W2" s="70"/>
      <c r="X2" s="70"/>
      <c r="Y2" s="71"/>
    </row>
    <row r="3" spans="1:25" s="14" customFormat="1" ht="18" thickBot="1" x14ac:dyDescent="0.45">
      <c r="A3" s="27"/>
      <c r="B3" s="42">
        <v>2020</v>
      </c>
      <c r="C3" s="28" t="s">
        <v>121</v>
      </c>
      <c r="D3" s="30" t="s">
        <v>145</v>
      </c>
      <c r="E3" s="27"/>
      <c r="F3" s="28">
        <v>2022</v>
      </c>
      <c r="G3" s="28"/>
      <c r="H3" s="28" t="s">
        <v>123</v>
      </c>
      <c r="I3" s="30" t="s">
        <v>124</v>
      </c>
      <c r="J3" s="27"/>
      <c r="K3" s="28"/>
      <c r="L3" s="28"/>
      <c r="M3" s="28" t="s">
        <v>130</v>
      </c>
      <c r="N3" s="28" t="s">
        <v>128</v>
      </c>
      <c r="O3" s="29" t="s">
        <v>129</v>
      </c>
      <c r="R3" s="72" t="s">
        <v>106</v>
      </c>
      <c r="S3" s="73"/>
      <c r="T3" s="73"/>
      <c r="U3" s="74"/>
      <c r="V3" s="28"/>
      <c r="W3" s="75" t="s">
        <v>107</v>
      </c>
      <c r="X3" s="73"/>
      <c r="Y3" s="76"/>
    </row>
    <row r="4" spans="1:25" ht="18" thickTop="1" x14ac:dyDescent="0.4">
      <c r="A4" s="24">
        <v>1</v>
      </c>
      <c r="B4" s="43" t="s">
        <v>20</v>
      </c>
      <c r="C4" s="25" t="s">
        <v>61</v>
      </c>
      <c r="D4" s="31">
        <v>1350</v>
      </c>
      <c r="E4" s="24">
        <v>1</v>
      </c>
      <c r="F4" s="25" t="s">
        <v>44</v>
      </c>
      <c r="G4" s="25" t="s">
        <v>60</v>
      </c>
      <c r="H4" s="25">
        <v>610</v>
      </c>
      <c r="I4" s="31">
        <v>510</v>
      </c>
      <c r="J4" s="24">
        <v>1</v>
      </c>
      <c r="K4" s="25" t="s">
        <v>2</v>
      </c>
      <c r="L4" s="25" t="s">
        <v>61</v>
      </c>
      <c r="M4" s="25">
        <v>16000</v>
      </c>
      <c r="N4" s="25">
        <v>4000</v>
      </c>
      <c r="O4" s="26">
        <v>2000</v>
      </c>
      <c r="P4">
        <f>SUM(M4,O4)</f>
        <v>18000</v>
      </c>
      <c r="R4" s="24">
        <v>0</v>
      </c>
      <c r="S4" s="25" t="s">
        <v>55</v>
      </c>
      <c r="T4" s="25" t="s">
        <v>56</v>
      </c>
      <c r="U4" s="25" t="s">
        <v>59</v>
      </c>
      <c r="V4" s="25"/>
      <c r="W4" s="25">
        <v>18</v>
      </c>
      <c r="X4" s="49" t="s">
        <v>108</v>
      </c>
      <c r="Y4" s="26" t="s">
        <v>115</v>
      </c>
    </row>
    <row r="5" spans="1:25" x14ac:dyDescent="0.4">
      <c r="A5" s="17">
        <v>2</v>
      </c>
      <c r="B5" s="44" t="s">
        <v>21</v>
      </c>
      <c r="C5" s="15" t="s">
        <v>63</v>
      </c>
      <c r="D5" s="32">
        <v>730</v>
      </c>
      <c r="E5" s="17">
        <v>2</v>
      </c>
      <c r="F5" s="15" t="s">
        <v>45</v>
      </c>
      <c r="G5" s="15" t="s">
        <v>62</v>
      </c>
      <c r="H5" s="15">
        <v>81</v>
      </c>
      <c r="I5" s="32">
        <v>41</v>
      </c>
      <c r="J5" s="17">
        <v>2</v>
      </c>
      <c r="K5" s="15" t="s">
        <v>3</v>
      </c>
      <c r="L5" s="15" t="s">
        <v>59</v>
      </c>
      <c r="M5" s="15">
        <v>16000</v>
      </c>
      <c r="N5" s="15">
        <v>3000</v>
      </c>
      <c r="O5" s="18">
        <v>2000</v>
      </c>
      <c r="P5">
        <f t="shared" ref="P5:P21" si="0">SUM(M5,O5)</f>
        <v>18000</v>
      </c>
      <c r="R5" s="17">
        <v>1</v>
      </c>
      <c r="S5" s="15"/>
      <c r="T5" s="15" t="s">
        <v>57</v>
      </c>
      <c r="U5" s="47" t="s">
        <v>61</v>
      </c>
      <c r="V5" s="15"/>
      <c r="W5" s="25">
        <v>19</v>
      </c>
      <c r="X5" s="16" t="s">
        <v>109</v>
      </c>
      <c r="Y5" s="18" t="s">
        <v>105</v>
      </c>
    </row>
    <row r="6" spans="1:25" x14ac:dyDescent="0.4">
      <c r="A6" s="17">
        <v>3</v>
      </c>
      <c r="B6" s="44" t="s">
        <v>22</v>
      </c>
      <c r="C6" s="15" t="s">
        <v>59</v>
      </c>
      <c r="D6" s="32">
        <v>1250</v>
      </c>
      <c r="E6" s="17">
        <v>3</v>
      </c>
      <c r="F6" s="15" t="s">
        <v>46</v>
      </c>
      <c r="G6" s="15" t="s">
        <v>58</v>
      </c>
      <c r="H6" s="15">
        <v>844</v>
      </c>
      <c r="I6" s="32">
        <v>744</v>
      </c>
      <c r="J6" s="17">
        <v>3</v>
      </c>
      <c r="K6" s="15" t="s">
        <v>4</v>
      </c>
      <c r="L6" s="15" t="s">
        <v>67</v>
      </c>
      <c r="M6" s="15">
        <v>16000</v>
      </c>
      <c r="N6" s="15">
        <v>2999</v>
      </c>
      <c r="O6" s="18">
        <v>2000</v>
      </c>
      <c r="P6">
        <f t="shared" si="0"/>
        <v>18000</v>
      </c>
      <c r="R6" s="17">
        <v>2</v>
      </c>
      <c r="S6" s="15"/>
      <c r="T6" s="15" t="s">
        <v>64</v>
      </c>
      <c r="U6" s="47" t="s">
        <v>63</v>
      </c>
      <c r="V6" s="15"/>
      <c r="W6" s="25">
        <v>20</v>
      </c>
      <c r="X6" s="16" t="s">
        <v>110</v>
      </c>
      <c r="Y6" s="18" t="s">
        <v>116</v>
      </c>
    </row>
    <row r="7" spans="1:25" x14ac:dyDescent="0.4">
      <c r="A7" s="17">
        <v>4</v>
      </c>
      <c r="B7" s="45" t="s">
        <v>23</v>
      </c>
      <c r="C7" s="16" t="s">
        <v>115</v>
      </c>
      <c r="D7" s="33">
        <v>35</v>
      </c>
      <c r="E7" s="17">
        <v>4</v>
      </c>
      <c r="F7" s="15" t="s">
        <v>47</v>
      </c>
      <c r="G7" s="15" t="s">
        <v>66</v>
      </c>
      <c r="H7" s="15">
        <v>500</v>
      </c>
      <c r="I7" s="32">
        <v>400</v>
      </c>
      <c r="J7" s="17">
        <v>4</v>
      </c>
      <c r="K7" s="15" t="s">
        <v>5</v>
      </c>
      <c r="L7" s="15" t="s">
        <v>72</v>
      </c>
      <c r="M7" s="15">
        <v>32000</v>
      </c>
      <c r="N7" s="15">
        <v>3000</v>
      </c>
      <c r="O7" s="18">
        <v>4000</v>
      </c>
      <c r="P7">
        <f t="shared" si="0"/>
        <v>36000</v>
      </c>
      <c r="R7" s="17">
        <v>3</v>
      </c>
      <c r="S7" s="15" t="s">
        <v>65</v>
      </c>
      <c r="T7" s="15"/>
      <c r="U7" s="47" t="s">
        <v>67</v>
      </c>
      <c r="V7" s="15"/>
      <c r="W7" s="25">
        <v>21</v>
      </c>
      <c r="X7" s="16" t="s">
        <v>111</v>
      </c>
      <c r="Y7" s="18" t="s">
        <v>117</v>
      </c>
    </row>
    <row r="8" spans="1:25" x14ac:dyDescent="0.4">
      <c r="A8" s="17">
        <v>5</v>
      </c>
      <c r="B8" s="44" t="s">
        <v>24</v>
      </c>
      <c r="C8" s="15" t="s">
        <v>69</v>
      </c>
      <c r="D8" s="32">
        <v>427</v>
      </c>
      <c r="E8" s="17">
        <v>5</v>
      </c>
      <c r="F8" s="15" t="s">
        <v>48</v>
      </c>
      <c r="G8" s="15" t="s">
        <v>71</v>
      </c>
      <c r="H8" s="15">
        <v>500</v>
      </c>
      <c r="I8" s="32">
        <v>400</v>
      </c>
      <c r="J8" s="17">
        <v>5</v>
      </c>
      <c r="K8" s="15" t="s">
        <v>6</v>
      </c>
      <c r="L8" s="15" t="s">
        <v>93</v>
      </c>
      <c r="M8" s="15">
        <v>32000</v>
      </c>
      <c r="N8" s="15">
        <v>3000</v>
      </c>
      <c r="O8" s="18">
        <v>4000</v>
      </c>
      <c r="P8">
        <f t="shared" si="0"/>
        <v>36000</v>
      </c>
      <c r="R8" s="17">
        <v>4</v>
      </c>
      <c r="S8" s="15" t="s">
        <v>73</v>
      </c>
      <c r="T8" s="15"/>
      <c r="U8" s="47" t="s">
        <v>68</v>
      </c>
      <c r="V8" s="15"/>
      <c r="W8" s="25">
        <v>22</v>
      </c>
      <c r="X8" s="16" t="s">
        <v>112</v>
      </c>
      <c r="Y8" s="18" t="s">
        <v>118</v>
      </c>
    </row>
    <row r="9" spans="1:25" x14ac:dyDescent="0.4">
      <c r="A9" s="17">
        <v>6</v>
      </c>
      <c r="B9" s="44" t="s">
        <v>25</v>
      </c>
      <c r="C9" s="15" t="s">
        <v>70</v>
      </c>
      <c r="D9" s="32">
        <v>286</v>
      </c>
      <c r="E9" s="17">
        <v>6</v>
      </c>
      <c r="F9" s="15" t="s">
        <v>49</v>
      </c>
      <c r="G9" s="15" t="s">
        <v>92</v>
      </c>
      <c r="H9" s="15">
        <v>500</v>
      </c>
      <c r="I9" s="32">
        <v>400</v>
      </c>
      <c r="J9" s="17">
        <v>6</v>
      </c>
      <c r="K9" s="15" t="s">
        <v>7</v>
      </c>
      <c r="L9" s="15" t="s">
        <v>99</v>
      </c>
      <c r="M9" s="15">
        <v>32000</v>
      </c>
      <c r="N9" s="15">
        <v>3000</v>
      </c>
      <c r="O9" s="18">
        <v>4000</v>
      </c>
      <c r="P9">
        <f t="shared" si="0"/>
        <v>36000</v>
      </c>
      <c r="R9" s="17">
        <v>5</v>
      </c>
      <c r="S9" s="15" t="s">
        <v>74</v>
      </c>
      <c r="T9" s="15"/>
      <c r="U9" s="47" t="s">
        <v>69</v>
      </c>
      <c r="V9" s="15"/>
      <c r="W9" s="25">
        <v>23</v>
      </c>
      <c r="X9" s="16" t="s">
        <v>113</v>
      </c>
      <c r="Y9" s="18" t="s">
        <v>119</v>
      </c>
    </row>
    <row r="10" spans="1:25" x14ac:dyDescent="0.4">
      <c r="A10" s="17">
        <v>7</v>
      </c>
      <c r="B10" s="44" t="s">
        <v>26</v>
      </c>
      <c r="C10" s="15" t="s">
        <v>78</v>
      </c>
      <c r="D10" s="32">
        <v>14</v>
      </c>
      <c r="E10" s="17">
        <v>7</v>
      </c>
      <c r="F10" s="15" t="s">
        <v>50</v>
      </c>
      <c r="G10" s="15" t="s">
        <v>94</v>
      </c>
      <c r="H10" s="15">
        <v>500</v>
      </c>
      <c r="I10" s="32">
        <v>400</v>
      </c>
      <c r="J10" s="17">
        <v>7</v>
      </c>
      <c r="K10" s="15" t="s">
        <v>8</v>
      </c>
      <c r="L10" s="15" t="s">
        <v>101</v>
      </c>
      <c r="M10" s="15">
        <v>16000</v>
      </c>
      <c r="N10" s="15">
        <v>3000</v>
      </c>
      <c r="O10" s="18">
        <v>4000</v>
      </c>
      <c r="P10">
        <f t="shared" si="0"/>
        <v>20000</v>
      </c>
      <c r="R10" s="17">
        <v>6</v>
      </c>
      <c r="S10" s="15" t="s">
        <v>75</v>
      </c>
      <c r="T10" s="15"/>
      <c r="U10" s="47" t="s">
        <v>70</v>
      </c>
      <c r="V10" s="15"/>
      <c r="W10" s="25">
        <v>24</v>
      </c>
      <c r="X10" s="16" t="s">
        <v>114</v>
      </c>
      <c r="Y10" s="18" t="s">
        <v>120</v>
      </c>
    </row>
    <row r="11" spans="1:25" x14ac:dyDescent="0.4">
      <c r="A11" s="17">
        <v>8</v>
      </c>
      <c r="B11" s="45" t="s">
        <v>27</v>
      </c>
      <c r="C11" s="16" t="s">
        <v>118</v>
      </c>
      <c r="D11" s="33">
        <v>550</v>
      </c>
      <c r="E11" s="17">
        <v>8</v>
      </c>
      <c r="F11" s="15" t="s">
        <v>51</v>
      </c>
      <c r="G11" s="15" t="s">
        <v>100</v>
      </c>
      <c r="H11" s="15">
        <v>500</v>
      </c>
      <c r="I11" s="32">
        <v>400</v>
      </c>
      <c r="J11" s="17">
        <v>8</v>
      </c>
      <c r="K11" s="15" t="s">
        <v>9</v>
      </c>
      <c r="L11" s="15" t="s">
        <v>101</v>
      </c>
      <c r="M11" s="15">
        <v>16000</v>
      </c>
      <c r="N11" s="15"/>
      <c r="O11" s="18"/>
      <c r="P11">
        <f t="shared" si="0"/>
        <v>16000</v>
      </c>
      <c r="R11" s="17">
        <v>7</v>
      </c>
      <c r="S11" s="15" t="s">
        <v>76</v>
      </c>
      <c r="T11" s="15"/>
      <c r="U11" s="47" t="s">
        <v>72</v>
      </c>
      <c r="V11" s="15"/>
      <c r="W11" s="15"/>
      <c r="X11" s="15"/>
      <c r="Y11" s="18"/>
    </row>
    <row r="12" spans="1:25" x14ac:dyDescent="0.4">
      <c r="A12" s="17">
        <v>9</v>
      </c>
      <c r="B12" s="44" t="s">
        <v>28</v>
      </c>
      <c r="C12" s="15" t="s">
        <v>102</v>
      </c>
      <c r="D12" s="32">
        <v>5</v>
      </c>
      <c r="E12" s="17">
        <v>9</v>
      </c>
      <c r="F12" s="15" t="s">
        <v>52</v>
      </c>
      <c r="G12" s="15" t="s">
        <v>98</v>
      </c>
      <c r="H12" s="15">
        <v>500</v>
      </c>
      <c r="I12" s="32">
        <v>400</v>
      </c>
      <c r="J12" s="17">
        <v>9</v>
      </c>
      <c r="K12" s="15" t="s">
        <v>10</v>
      </c>
      <c r="L12" s="15" t="s">
        <v>105</v>
      </c>
      <c r="M12" s="15">
        <v>24000</v>
      </c>
      <c r="N12" s="15">
        <v>3000</v>
      </c>
      <c r="O12" s="18">
        <v>3000</v>
      </c>
      <c r="P12">
        <f t="shared" si="0"/>
        <v>27000</v>
      </c>
      <c r="R12" s="17">
        <v>8</v>
      </c>
      <c r="S12" s="15" t="s">
        <v>77</v>
      </c>
      <c r="T12" s="15"/>
      <c r="U12" s="15" t="s">
        <v>78</v>
      </c>
      <c r="V12" s="15"/>
      <c r="W12" s="15"/>
      <c r="X12" s="15"/>
      <c r="Y12" s="18"/>
    </row>
    <row r="13" spans="1:25" x14ac:dyDescent="0.4">
      <c r="A13" s="17">
        <v>10</v>
      </c>
      <c r="B13" s="44" t="s">
        <v>29</v>
      </c>
      <c r="C13" s="15" t="s">
        <v>93</v>
      </c>
      <c r="D13" s="32">
        <v>5400</v>
      </c>
      <c r="E13" s="17">
        <v>10</v>
      </c>
      <c r="F13" s="15" t="s">
        <v>53</v>
      </c>
      <c r="G13" s="15" t="s">
        <v>96</v>
      </c>
      <c r="H13" s="15">
        <v>500</v>
      </c>
      <c r="I13" s="32">
        <v>400</v>
      </c>
      <c r="J13" s="17">
        <v>10</v>
      </c>
      <c r="K13" s="15" t="s">
        <v>11</v>
      </c>
      <c r="L13" s="15" t="s">
        <v>134</v>
      </c>
      <c r="M13" s="15">
        <v>32000</v>
      </c>
      <c r="N13" s="15">
        <v>5000</v>
      </c>
      <c r="O13" s="18">
        <v>4000</v>
      </c>
      <c r="P13">
        <f t="shared" si="0"/>
        <v>36000</v>
      </c>
      <c r="R13" s="17">
        <v>9</v>
      </c>
      <c r="S13" s="15" t="s">
        <v>79</v>
      </c>
      <c r="T13" s="15"/>
      <c r="U13" s="47" t="s">
        <v>81</v>
      </c>
      <c r="V13" s="15"/>
      <c r="W13" s="15"/>
      <c r="X13" s="15"/>
      <c r="Y13" s="18"/>
    </row>
    <row r="14" spans="1:25" ht="18" thickBot="1" x14ac:dyDescent="0.45">
      <c r="A14" s="17">
        <v>11</v>
      </c>
      <c r="B14" s="44" t="s">
        <v>30</v>
      </c>
      <c r="C14" s="15" t="s">
        <v>95</v>
      </c>
      <c r="D14" s="32">
        <v>8400</v>
      </c>
      <c r="E14" s="21">
        <v>11</v>
      </c>
      <c r="F14" s="34" t="s">
        <v>54</v>
      </c>
      <c r="G14" s="34" t="s">
        <v>104</v>
      </c>
      <c r="H14" s="22">
        <v>525</v>
      </c>
      <c r="I14" s="35">
        <v>425</v>
      </c>
      <c r="J14" s="37">
        <v>11</v>
      </c>
      <c r="K14" s="36" t="s">
        <v>12</v>
      </c>
      <c r="L14" s="36" t="s">
        <v>138</v>
      </c>
      <c r="M14" s="36">
        <v>20000</v>
      </c>
      <c r="N14" s="36"/>
      <c r="O14" s="38">
        <v>5000</v>
      </c>
      <c r="P14">
        <f t="shared" si="0"/>
        <v>25000</v>
      </c>
      <c r="R14" s="17">
        <v>10</v>
      </c>
      <c r="S14" s="15" t="s">
        <v>80</v>
      </c>
      <c r="T14" s="15"/>
      <c r="U14" s="15" t="s">
        <v>82</v>
      </c>
      <c r="V14" s="15"/>
      <c r="W14" s="15"/>
      <c r="X14" s="15"/>
      <c r="Y14" s="18"/>
    </row>
    <row r="15" spans="1:25" x14ac:dyDescent="0.4">
      <c r="A15" s="17">
        <v>12</v>
      </c>
      <c r="B15" s="44" t="s">
        <v>31</v>
      </c>
      <c r="C15" s="15" t="s">
        <v>81</v>
      </c>
      <c r="D15" s="18">
        <v>830</v>
      </c>
      <c r="J15" s="37">
        <v>12</v>
      </c>
      <c r="K15" s="36" t="s">
        <v>13</v>
      </c>
      <c r="L15" s="36" t="s">
        <v>138</v>
      </c>
      <c r="M15" s="36">
        <v>20000</v>
      </c>
      <c r="N15" s="36"/>
      <c r="O15" s="38"/>
      <c r="P15">
        <f t="shared" si="0"/>
        <v>20000</v>
      </c>
      <c r="R15" s="17">
        <v>11</v>
      </c>
      <c r="S15" s="15" t="s">
        <v>83</v>
      </c>
      <c r="T15" s="15" t="s">
        <v>84</v>
      </c>
      <c r="U15" s="15" t="s">
        <v>93</v>
      </c>
      <c r="V15" s="15"/>
      <c r="W15" s="15"/>
      <c r="X15" s="15"/>
      <c r="Y15" s="18"/>
    </row>
    <row r="16" spans="1:25" x14ac:dyDescent="0.4">
      <c r="A16" s="17">
        <v>13</v>
      </c>
      <c r="B16" s="44" t="s">
        <v>32</v>
      </c>
      <c r="C16" s="15" t="s">
        <v>101</v>
      </c>
      <c r="D16" s="18">
        <v>1840</v>
      </c>
      <c r="J16" s="37">
        <v>13</v>
      </c>
      <c r="K16" s="36" t="s">
        <v>14</v>
      </c>
      <c r="L16" s="36" t="s">
        <v>139</v>
      </c>
      <c r="M16" s="36">
        <v>20000</v>
      </c>
      <c r="N16" s="36"/>
      <c r="O16" s="38">
        <v>10000</v>
      </c>
      <c r="P16">
        <f t="shared" si="0"/>
        <v>30000</v>
      </c>
      <c r="R16" s="17">
        <v>12</v>
      </c>
      <c r="S16" s="15"/>
      <c r="T16" s="15" t="s">
        <v>85</v>
      </c>
      <c r="U16" s="15" t="s">
        <v>95</v>
      </c>
      <c r="V16" s="15"/>
      <c r="W16" s="15"/>
      <c r="X16" s="15"/>
      <c r="Y16" s="18"/>
    </row>
    <row r="17" spans="1:25" x14ac:dyDescent="0.4">
      <c r="A17" s="17">
        <v>14</v>
      </c>
      <c r="B17" s="44" t="s">
        <v>33</v>
      </c>
      <c r="C17" s="15" t="s">
        <v>99</v>
      </c>
      <c r="D17" s="18">
        <v>6250</v>
      </c>
      <c r="J17" s="37">
        <v>14</v>
      </c>
      <c r="K17" s="36" t="s">
        <v>15</v>
      </c>
      <c r="L17" s="36" t="s">
        <v>139</v>
      </c>
      <c r="M17" s="36">
        <v>26000</v>
      </c>
      <c r="N17" s="36"/>
      <c r="O17" s="38"/>
      <c r="P17">
        <f t="shared" si="0"/>
        <v>26000</v>
      </c>
      <c r="R17" s="17">
        <v>13</v>
      </c>
      <c r="S17" s="15" t="s">
        <v>89</v>
      </c>
      <c r="T17" s="15" t="s">
        <v>86</v>
      </c>
      <c r="U17" s="15" t="s">
        <v>97</v>
      </c>
      <c r="V17" s="15"/>
      <c r="W17" s="15"/>
      <c r="X17" s="15"/>
      <c r="Y17" s="18"/>
    </row>
    <row r="18" spans="1:25" x14ac:dyDescent="0.4">
      <c r="A18" s="17">
        <v>15</v>
      </c>
      <c r="B18" s="44" t="s">
        <v>34</v>
      </c>
      <c r="C18" s="15" t="s">
        <v>97</v>
      </c>
      <c r="D18" s="18">
        <v>3725</v>
      </c>
      <c r="J18" s="37">
        <v>15</v>
      </c>
      <c r="K18" s="36" t="s">
        <v>16</v>
      </c>
      <c r="L18" s="36" t="s">
        <v>139</v>
      </c>
      <c r="M18" s="36">
        <v>34000</v>
      </c>
      <c r="N18" s="36"/>
      <c r="O18" s="38"/>
      <c r="P18">
        <f t="shared" si="0"/>
        <v>34000</v>
      </c>
      <c r="R18" s="17">
        <v>14</v>
      </c>
      <c r="S18" s="15"/>
      <c r="T18" s="15" t="s">
        <v>87</v>
      </c>
      <c r="U18" s="15" t="s">
        <v>99</v>
      </c>
      <c r="V18" s="15"/>
      <c r="W18" s="15"/>
      <c r="X18" s="15"/>
      <c r="Y18" s="18"/>
    </row>
    <row r="19" spans="1:25" x14ac:dyDescent="0.4">
      <c r="A19" s="17">
        <v>16</v>
      </c>
      <c r="B19" s="45" t="s">
        <v>35</v>
      </c>
      <c r="C19" s="16" t="s">
        <v>117</v>
      </c>
      <c r="D19" s="20">
        <v>680</v>
      </c>
      <c r="J19" s="37">
        <v>16</v>
      </c>
      <c r="K19" s="36" t="s">
        <v>17</v>
      </c>
      <c r="L19" s="36" t="s">
        <v>140</v>
      </c>
      <c r="M19" s="36">
        <v>8000</v>
      </c>
      <c r="N19" s="36"/>
      <c r="O19" s="38">
        <v>1000</v>
      </c>
      <c r="P19">
        <f t="shared" si="0"/>
        <v>9000</v>
      </c>
      <c r="R19" s="17">
        <v>15</v>
      </c>
      <c r="S19" s="15"/>
      <c r="T19" s="15" t="s">
        <v>88</v>
      </c>
      <c r="U19" s="15" t="s">
        <v>101</v>
      </c>
      <c r="V19" s="15"/>
      <c r="W19" s="15"/>
      <c r="X19" s="15"/>
      <c r="Y19" s="18"/>
    </row>
    <row r="20" spans="1:25" x14ac:dyDescent="0.4">
      <c r="A20" s="17">
        <v>17</v>
      </c>
      <c r="B20" s="44" t="s">
        <v>36</v>
      </c>
      <c r="C20" s="15" t="s">
        <v>68</v>
      </c>
      <c r="D20" s="18">
        <v>420</v>
      </c>
      <c r="J20" s="37">
        <v>17</v>
      </c>
      <c r="K20" s="36" t="s">
        <v>18</v>
      </c>
      <c r="L20" s="36" t="s">
        <v>140</v>
      </c>
      <c r="M20" s="36">
        <v>8000</v>
      </c>
      <c r="N20" s="36"/>
      <c r="O20" s="38">
        <v>1000</v>
      </c>
      <c r="P20">
        <f t="shared" si="0"/>
        <v>9000</v>
      </c>
      <c r="R20" s="17">
        <v>16</v>
      </c>
      <c r="S20" s="15" t="s">
        <v>90</v>
      </c>
      <c r="T20" s="15"/>
      <c r="U20" s="47" t="s">
        <v>102</v>
      </c>
      <c r="V20" s="15"/>
      <c r="W20" s="15"/>
      <c r="X20" s="15"/>
      <c r="Y20" s="18"/>
    </row>
    <row r="21" spans="1:25" ht="18" thickBot="1" x14ac:dyDescent="0.45">
      <c r="A21" s="17">
        <v>18</v>
      </c>
      <c r="B21" s="44" t="s">
        <v>37</v>
      </c>
      <c r="C21" s="15" t="s">
        <v>82</v>
      </c>
      <c r="D21" s="18">
        <v>1107</v>
      </c>
      <c r="J21" s="39">
        <v>18</v>
      </c>
      <c r="K21" s="40" t="s">
        <v>19</v>
      </c>
      <c r="L21" s="36" t="s">
        <v>140</v>
      </c>
      <c r="M21" s="40">
        <v>8000</v>
      </c>
      <c r="N21" s="40"/>
      <c r="O21" s="41">
        <v>1000</v>
      </c>
      <c r="P21">
        <f t="shared" si="0"/>
        <v>9000</v>
      </c>
      <c r="R21" s="17">
        <v>17</v>
      </c>
      <c r="S21" s="22" t="s">
        <v>91</v>
      </c>
      <c r="T21" s="22"/>
      <c r="U21" s="48" t="s">
        <v>103</v>
      </c>
      <c r="V21" s="22"/>
      <c r="W21" s="22"/>
      <c r="X21" s="22"/>
      <c r="Y21" s="23"/>
    </row>
    <row r="22" spans="1:25" x14ac:dyDescent="0.4">
      <c r="A22" s="17">
        <v>19</v>
      </c>
      <c r="B22" s="45" t="s">
        <v>38</v>
      </c>
      <c r="C22" s="16" t="s">
        <v>119</v>
      </c>
      <c r="D22" s="20">
        <v>140</v>
      </c>
      <c r="W22">
        <v>25</v>
      </c>
      <c r="X22" t="s">
        <v>147</v>
      </c>
      <c r="Y22" t="s">
        <v>138</v>
      </c>
    </row>
    <row r="23" spans="1:25" x14ac:dyDescent="0.4">
      <c r="A23" s="17">
        <v>20</v>
      </c>
      <c r="B23" s="44" t="s">
        <v>39</v>
      </c>
      <c r="C23" s="15" t="s">
        <v>103</v>
      </c>
      <c r="D23" s="18">
        <v>631</v>
      </c>
      <c r="W23">
        <v>26</v>
      </c>
      <c r="X23" t="s">
        <v>134</v>
      </c>
    </row>
    <row r="24" spans="1:25" x14ac:dyDescent="0.4">
      <c r="A24" s="17">
        <v>21</v>
      </c>
      <c r="B24" s="44" t="s">
        <v>40</v>
      </c>
      <c r="C24" s="15" t="s">
        <v>105</v>
      </c>
      <c r="D24" s="18">
        <v>2577</v>
      </c>
      <c r="W24">
        <v>27</v>
      </c>
      <c r="X24" t="s">
        <v>139</v>
      </c>
    </row>
    <row r="25" spans="1:25" x14ac:dyDescent="0.4">
      <c r="A25" s="17">
        <v>22</v>
      </c>
      <c r="B25" s="44" t="s">
        <v>41</v>
      </c>
      <c r="C25" s="15" t="s">
        <v>72</v>
      </c>
      <c r="D25" s="18">
        <v>1720</v>
      </c>
      <c r="W25">
        <v>28</v>
      </c>
      <c r="X25" t="s">
        <v>149</v>
      </c>
    </row>
    <row r="26" spans="1:25" x14ac:dyDescent="0.4">
      <c r="A26" s="17">
        <v>23</v>
      </c>
      <c r="B26" s="44" t="s">
        <v>42</v>
      </c>
      <c r="C26" s="15" t="s">
        <v>116</v>
      </c>
      <c r="D26" s="18">
        <v>304</v>
      </c>
      <c r="W26">
        <v>29</v>
      </c>
      <c r="X26" t="s">
        <v>150</v>
      </c>
    </row>
    <row r="27" spans="1:25" ht="18" thickBot="1" x14ac:dyDescent="0.45">
      <c r="A27" s="21">
        <v>24</v>
      </c>
      <c r="B27" s="46" t="s">
        <v>43</v>
      </c>
      <c r="C27" s="22" t="s">
        <v>67</v>
      </c>
      <c r="D27" s="23">
        <v>1926</v>
      </c>
      <c r="W27">
        <v>30</v>
      </c>
      <c r="X27" t="s">
        <v>151</v>
      </c>
    </row>
  </sheetData>
  <mergeCells count="5">
    <mergeCell ref="J2:M2"/>
    <mergeCell ref="A2:I2"/>
    <mergeCell ref="R2:Y2"/>
    <mergeCell ref="R3:U3"/>
    <mergeCell ref="W3:Y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6E0D-D94D-40EA-8E7C-437B50795790}">
  <sheetPr codeName="Sheet2"/>
  <dimension ref="A1:X33"/>
  <sheetViews>
    <sheetView topLeftCell="G1" zoomScale="70" zoomScaleNormal="70" workbookViewId="0">
      <selection activeCell="R33" sqref="R33"/>
    </sheetView>
  </sheetViews>
  <sheetFormatPr defaultRowHeight="17.399999999999999" x14ac:dyDescent="0.4"/>
  <cols>
    <col min="19" max="19" width="8.796875" customWidth="1"/>
  </cols>
  <sheetData>
    <row r="1" spans="1:24" x14ac:dyDescent="0.4">
      <c r="H1" s="54"/>
      <c r="I1" s="77" t="s">
        <v>131</v>
      </c>
      <c r="J1" s="77"/>
      <c r="K1" s="78" t="s">
        <v>132</v>
      </c>
      <c r="L1" s="79"/>
      <c r="M1" s="80" t="s">
        <v>135</v>
      </c>
      <c r="O1" s="85" t="s">
        <v>137</v>
      </c>
      <c r="P1" s="77"/>
      <c r="Q1" s="77"/>
      <c r="R1" s="77"/>
      <c r="S1" s="77"/>
      <c r="V1" t="s">
        <v>125</v>
      </c>
      <c r="X1" s="13" t="s">
        <v>136</v>
      </c>
    </row>
    <row r="2" spans="1:24" ht="18" thickBot="1" x14ac:dyDescent="0.45">
      <c r="B2" t="s">
        <v>106</v>
      </c>
      <c r="H2" s="55"/>
      <c r="I2" s="53">
        <v>2020</v>
      </c>
      <c r="J2" s="53">
        <v>2022</v>
      </c>
      <c r="K2" s="53" t="s">
        <v>130</v>
      </c>
      <c r="L2" s="56" t="s">
        <v>129</v>
      </c>
      <c r="M2" s="81"/>
      <c r="O2" s="55"/>
      <c r="P2" s="53"/>
      <c r="Q2" s="53" t="s">
        <v>133</v>
      </c>
      <c r="R2" s="53" t="s">
        <v>130</v>
      </c>
      <c r="S2" s="53" t="s">
        <v>129</v>
      </c>
      <c r="V2" s="13" t="s">
        <v>126</v>
      </c>
    </row>
    <row r="3" spans="1:24" ht="18" thickTop="1" x14ac:dyDescent="0.4">
      <c r="A3">
        <v>1</v>
      </c>
      <c r="B3" t="s">
        <v>55</v>
      </c>
      <c r="C3" t="s">
        <v>56</v>
      </c>
      <c r="D3" s="2" t="s">
        <v>59</v>
      </c>
      <c r="E3" s="3">
        <f>VLOOKUP(D3,$H$3:$I$27,2,0)</f>
        <v>1250</v>
      </c>
      <c r="H3" s="24" t="s">
        <v>61</v>
      </c>
      <c r="I3" s="25">
        <f>VLOOKUP(H3,'bbox data'!$C$4:$D$27,2,0)</f>
        <v>1350</v>
      </c>
      <c r="J3" s="25">
        <f>VLOOKUP($H3,'bbox data'!$G$4:$I$14,3,0)</f>
        <v>510</v>
      </c>
      <c r="K3" s="25">
        <f>VLOOKUP($H3,'bbox data'!$L$4:$O$21,2,0)</f>
        <v>16000</v>
      </c>
      <c r="L3" s="26">
        <f>VLOOKUP($H3,'bbox data'!$L$4:$O$21,4,0)</f>
        <v>2000</v>
      </c>
      <c r="M3" s="57">
        <f>SUM(I3:L3)</f>
        <v>19860</v>
      </c>
      <c r="O3" s="82" t="s">
        <v>144</v>
      </c>
      <c r="P3" s="25" t="s">
        <v>61</v>
      </c>
      <c r="Q3" s="59">
        <f>K3</f>
        <v>16000</v>
      </c>
      <c r="R3" s="59">
        <f>SUM(I3:J3)</f>
        <v>1860</v>
      </c>
      <c r="S3" s="59">
        <f>L3</f>
        <v>2000</v>
      </c>
    </row>
    <row r="4" spans="1:24" x14ac:dyDescent="0.4">
      <c r="A4">
        <v>2</v>
      </c>
      <c r="C4" t="s">
        <v>57</v>
      </c>
      <c r="D4" s="4" t="s">
        <v>61</v>
      </c>
      <c r="E4" s="5">
        <f>VLOOKUP(D4,$H$3:$I$27,2,0)</f>
        <v>1350</v>
      </c>
      <c r="H4" s="17" t="s">
        <v>63</v>
      </c>
      <c r="I4" s="15">
        <f>VLOOKUP(H4,'bbox data'!$C$4:$D$27,2,0)</f>
        <v>730</v>
      </c>
      <c r="J4" s="15">
        <f>VLOOKUP($H4,'bbox data'!$G$4:$I$14,3,0)</f>
        <v>41</v>
      </c>
      <c r="K4" s="15"/>
      <c r="L4" s="18"/>
      <c r="M4" s="43">
        <f t="shared" ref="M4:M27" si="0">SUM(I4:L4)</f>
        <v>771</v>
      </c>
      <c r="O4" s="83"/>
      <c r="P4" s="15"/>
      <c r="Q4" s="15"/>
      <c r="R4" s="15"/>
      <c r="S4" s="15"/>
    </row>
    <row r="5" spans="1:24" x14ac:dyDescent="0.4">
      <c r="A5">
        <v>3</v>
      </c>
      <c r="C5" t="s">
        <v>64</v>
      </c>
      <c r="D5" s="4" t="s">
        <v>63</v>
      </c>
      <c r="E5" s="5">
        <f t="shared" ref="E5:E26" si="1">VLOOKUP(D5,$H$3:$I$27,2,0)</f>
        <v>730</v>
      </c>
      <c r="H5" s="17" t="s">
        <v>59</v>
      </c>
      <c r="I5" s="15">
        <f>VLOOKUP(H5,'bbox data'!$C$4:$D$27,2,0)</f>
        <v>1250</v>
      </c>
      <c r="J5" s="15">
        <f>VLOOKUP($H5,'bbox data'!$G$4:$I$14,3,0)</f>
        <v>744</v>
      </c>
      <c r="K5" s="15">
        <f>VLOOKUP($H5,'bbox data'!$L$4:$O$21,2,0)</f>
        <v>16000</v>
      </c>
      <c r="L5" s="18">
        <f>VLOOKUP($H5,'bbox data'!$L$4:$O$21,4,0)</f>
        <v>2000</v>
      </c>
      <c r="M5" s="57">
        <f t="shared" si="0"/>
        <v>19994</v>
      </c>
      <c r="O5" s="83"/>
      <c r="P5" s="15" t="s">
        <v>59</v>
      </c>
      <c r="Q5" s="58">
        <f>K5</f>
        <v>16000</v>
      </c>
      <c r="R5" s="58">
        <f>SUM(I5:J5)</f>
        <v>1994</v>
      </c>
      <c r="S5" s="58">
        <f>L5</f>
        <v>2000</v>
      </c>
    </row>
    <row r="6" spans="1:24" x14ac:dyDescent="0.4">
      <c r="A6">
        <v>4</v>
      </c>
      <c r="B6" t="s">
        <v>65</v>
      </c>
      <c r="D6" s="4" t="s">
        <v>67</v>
      </c>
      <c r="E6" s="5">
        <f t="shared" si="1"/>
        <v>1926</v>
      </c>
      <c r="H6" s="19" t="s">
        <v>115</v>
      </c>
      <c r="I6" s="15">
        <f>VLOOKUP(H6,'bbox data'!$C$4:$D$27,2,0)</f>
        <v>35</v>
      </c>
      <c r="J6" s="15"/>
      <c r="K6" s="15"/>
      <c r="L6" s="18"/>
      <c r="M6" s="43">
        <f t="shared" si="0"/>
        <v>35</v>
      </c>
      <c r="O6" s="83"/>
      <c r="P6" s="16"/>
      <c r="Q6" s="15"/>
      <c r="R6" s="15"/>
      <c r="S6" s="15"/>
    </row>
    <row r="7" spans="1:24" x14ac:dyDescent="0.4">
      <c r="A7">
        <v>5</v>
      </c>
      <c r="B7" t="s">
        <v>73</v>
      </c>
      <c r="D7" s="4" t="s">
        <v>68</v>
      </c>
      <c r="E7" s="5">
        <f t="shared" si="1"/>
        <v>420</v>
      </c>
      <c r="H7" s="17" t="s">
        <v>69</v>
      </c>
      <c r="I7" s="15">
        <f>VLOOKUP(H7,'bbox data'!$C$4:$D$27,2,0)</f>
        <v>427</v>
      </c>
      <c r="J7" s="15"/>
      <c r="K7" s="15"/>
      <c r="L7" s="18"/>
      <c r="M7" s="43">
        <f t="shared" si="0"/>
        <v>427</v>
      </c>
      <c r="O7" s="83"/>
      <c r="P7" s="15"/>
      <c r="Q7" s="15"/>
      <c r="R7" s="15"/>
      <c r="S7" s="15"/>
    </row>
    <row r="8" spans="1:24" x14ac:dyDescent="0.4">
      <c r="A8">
        <v>6</v>
      </c>
      <c r="B8" t="s">
        <v>74</v>
      </c>
      <c r="D8" s="4" t="s">
        <v>69</v>
      </c>
      <c r="E8" s="5">
        <f t="shared" si="1"/>
        <v>427</v>
      </c>
      <c r="H8" s="17" t="s">
        <v>70</v>
      </c>
      <c r="I8" s="15">
        <f>VLOOKUP(H8,'bbox data'!$C$4:$D$27,2,0)</f>
        <v>286</v>
      </c>
      <c r="J8" s="15"/>
      <c r="K8" s="15"/>
      <c r="L8" s="18"/>
      <c r="M8" s="43">
        <f t="shared" si="0"/>
        <v>286</v>
      </c>
      <c r="O8" s="83"/>
      <c r="P8" s="15"/>
      <c r="Q8" s="15"/>
      <c r="R8" s="15"/>
      <c r="S8" s="15"/>
    </row>
    <row r="9" spans="1:24" x14ac:dyDescent="0.4">
      <c r="A9">
        <v>7</v>
      </c>
      <c r="B9" t="s">
        <v>75</v>
      </c>
      <c r="D9" s="4" t="s">
        <v>70</v>
      </c>
      <c r="E9" s="5">
        <f t="shared" si="1"/>
        <v>286</v>
      </c>
      <c r="H9" s="17" t="s">
        <v>78</v>
      </c>
      <c r="I9" s="15">
        <f>VLOOKUP(H9,'bbox data'!$C$4:$D$27,2,0)</f>
        <v>14</v>
      </c>
      <c r="J9" s="15"/>
      <c r="K9" s="15"/>
      <c r="L9" s="18"/>
      <c r="M9" s="43">
        <f t="shared" si="0"/>
        <v>14</v>
      </c>
      <c r="O9" s="83"/>
      <c r="P9" s="15"/>
      <c r="Q9" s="15"/>
      <c r="R9" s="15"/>
      <c r="S9" s="15"/>
    </row>
    <row r="10" spans="1:24" x14ac:dyDescent="0.4">
      <c r="A10">
        <v>8</v>
      </c>
      <c r="B10" t="s">
        <v>76</v>
      </c>
      <c r="D10" s="4" t="s">
        <v>72</v>
      </c>
      <c r="E10" s="5">
        <f t="shared" si="1"/>
        <v>1720</v>
      </c>
      <c r="H10" s="19" t="s">
        <v>118</v>
      </c>
      <c r="I10" s="15">
        <f>VLOOKUP(H10,'bbox data'!$C$4:$D$27,2,0)</f>
        <v>550</v>
      </c>
      <c r="J10" s="15"/>
      <c r="K10" s="15"/>
      <c r="L10" s="18"/>
      <c r="M10" s="43">
        <f t="shared" si="0"/>
        <v>550</v>
      </c>
      <c r="O10" s="83"/>
      <c r="P10" s="16"/>
      <c r="Q10" s="15"/>
      <c r="R10" s="15"/>
      <c r="S10" s="15"/>
    </row>
    <row r="11" spans="1:24" x14ac:dyDescent="0.4">
      <c r="A11">
        <v>9</v>
      </c>
      <c r="B11" t="s">
        <v>77</v>
      </c>
      <c r="D11" s="9" t="s">
        <v>78</v>
      </c>
      <c r="E11" s="10">
        <f t="shared" si="1"/>
        <v>14</v>
      </c>
      <c r="H11" s="17" t="s">
        <v>102</v>
      </c>
      <c r="I11" s="15">
        <f>VLOOKUP(H11,'bbox data'!$C$4:$D$27,2,0)</f>
        <v>5</v>
      </c>
      <c r="J11" s="15"/>
      <c r="K11" s="15"/>
      <c r="L11" s="18"/>
      <c r="M11" s="43">
        <f t="shared" si="0"/>
        <v>5</v>
      </c>
      <c r="O11" s="83"/>
      <c r="P11" s="15"/>
      <c r="Q11" s="15"/>
      <c r="R11" s="15"/>
      <c r="S11" s="15"/>
    </row>
    <row r="12" spans="1:24" x14ac:dyDescent="0.4">
      <c r="A12">
        <v>10</v>
      </c>
      <c r="B12" t="s">
        <v>79</v>
      </c>
      <c r="D12" s="4" t="s">
        <v>81</v>
      </c>
      <c r="E12" s="5">
        <f t="shared" si="1"/>
        <v>830</v>
      </c>
      <c r="H12" s="17" t="s">
        <v>93</v>
      </c>
      <c r="I12" s="15">
        <f>VLOOKUP(H12,'bbox data'!$C$4:$D$27,2,0)</f>
        <v>5400</v>
      </c>
      <c r="J12" s="15">
        <f>VLOOKUP($H12,'bbox data'!$G$4:$I$14,3,0)</f>
        <v>400</v>
      </c>
      <c r="K12" s="15">
        <f>VLOOKUP($H12,'bbox data'!$L$4:$O$21,2,0)</f>
        <v>32000</v>
      </c>
      <c r="L12" s="18">
        <f>VLOOKUP($H12,'bbox data'!$L$4:$O$21,4,0)</f>
        <v>4000</v>
      </c>
      <c r="M12" s="57">
        <f t="shared" si="0"/>
        <v>41800</v>
      </c>
      <c r="O12" s="83"/>
      <c r="P12" s="15" t="s">
        <v>93</v>
      </c>
      <c r="Q12" s="15">
        <v>16000</v>
      </c>
      <c r="R12" s="15">
        <v>2000</v>
      </c>
      <c r="S12" s="15">
        <v>2000</v>
      </c>
    </row>
    <row r="13" spans="1:24" x14ac:dyDescent="0.4">
      <c r="A13">
        <v>11</v>
      </c>
      <c r="B13" t="s">
        <v>80</v>
      </c>
      <c r="D13" s="6" t="s">
        <v>82</v>
      </c>
      <c r="E13" s="5">
        <f t="shared" si="1"/>
        <v>1107</v>
      </c>
      <c r="H13" s="17" t="s">
        <v>95</v>
      </c>
      <c r="I13" s="15">
        <f>VLOOKUP(H13,'bbox data'!$C$4:$D$27,2,0)</f>
        <v>8400</v>
      </c>
      <c r="J13" s="15">
        <f>VLOOKUP($H13,'bbox data'!$G$4:$I$14,3,0)</f>
        <v>400</v>
      </c>
      <c r="K13" s="15"/>
      <c r="L13" s="18"/>
      <c r="M13" s="43">
        <f t="shared" si="0"/>
        <v>8800</v>
      </c>
      <c r="O13" s="83"/>
      <c r="P13" s="15"/>
      <c r="Q13" s="15"/>
      <c r="R13" s="15"/>
      <c r="S13" s="15"/>
    </row>
    <row r="14" spans="1:24" x14ac:dyDescent="0.4">
      <c r="A14">
        <v>12</v>
      </c>
      <c r="B14" t="s">
        <v>83</v>
      </c>
      <c r="C14" t="s">
        <v>84</v>
      </c>
      <c r="D14" s="6" t="s">
        <v>93</v>
      </c>
      <c r="E14" s="5">
        <f t="shared" si="1"/>
        <v>5400</v>
      </c>
      <c r="H14" s="17" t="s">
        <v>81</v>
      </c>
      <c r="I14" s="15">
        <f>VLOOKUP(H14,'bbox data'!$C$4:$D$27,2,0)</f>
        <v>830</v>
      </c>
      <c r="J14" s="15"/>
      <c r="K14" s="15"/>
      <c r="L14" s="18"/>
      <c r="M14" s="43">
        <f t="shared" si="0"/>
        <v>830</v>
      </c>
      <c r="O14" s="83"/>
      <c r="P14" s="15"/>
      <c r="Q14" s="15"/>
      <c r="R14" s="15"/>
      <c r="S14" s="15"/>
    </row>
    <row r="15" spans="1:24" x14ac:dyDescent="0.4">
      <c r="A15">
        <v>13</v>
      </c>
      <c r="C15" t="s">
        <v>85</v>
      </c>
      <c r="D15" s="6" t="s">
        <v>95</v>
      </c>
      <c r="E15" s="5">
        <f t="shared" si="1"/>
        <v>8400</v>
      </c>
      <c r="H15" s="17" t="s">
        <v>101</v>
      </c>
      <c r="I15" s="15">
        <f>VLOOKUP(H15,'bbox data'!$C$4:$D$27,2,0)</f>
        <v>1840</v>
      </c>
      <c r="J15" s="15">
        <f>VLOOKUP($H15,'bbox data'!$G$4:$I$14,3,0)</f>
        <v>400</v>
      </c>
      <c r="K15" s="15">
        <f>VLOOKUP($H15,'bbox data'!$L$4:$O$21,2,0)</f>
        <v>16000</v>
      </c>
      <c r="L15" s="18">
        <f>VLOOKUP($H15,'bbox data'!$L$4:$O$21,4,0)</f>
        <v>4000</v>
      </c>
      <c r="M15" s="57">
        <f t="shared" si="0"/>
        <v>22240</v>
      </c>
      <c r="O15" s="83"/>
      <c r="P15" s="15" t="s">
        <v>101</v>
      </c>
      <c r="Q15" s="15">
        <f>K15</f>
        <v>16000</v>
      </c>
      <c r="R15" s="15">
        <v>2000</v>
      </c>
      <c r="S15" s="15">
        <v>2000</v>
      </c>
      <c r="T15" t="s">
        <v>146</v>
      </c>
    </row>
    <row r="16" spans="1:24" x14ac:dyDescent="0.4">
      <c r="A16">
        <v>14</v>
      </c>
      <c r="B16" t="s">
        <v>89</v>
      </c>
      <c r="C16" t="s">
        <v>86</v>
      </c>
      <c r="D16" s="6" t="s">
        <v>97</v>
      </c>
      <c r="E16" s="5">
        <f t="shared" si="1"/>
        <v>3725</v>
      </c>
      <c r="H16" s="17" t="s">
        <v>99</v>
      </c>
      <c r="I16" s="15">
        <f>VLOOKUP(H16,'bbox data'!$C$4:$D$27,2,0)</f>
        <v>6250</v>
      </c>
      <c r="J16" s="15">
        <f>VLOOKUP($H16,'bbox data'!$G$4:$I$14,3,0)</f>
        <v>400</v>
      </c>
      <c r="K16" s="15">
        <f>VLOOKUP($H16,'bbox data'!$L$4:$O$21,2,0)</f>
        <v>32000</v>
      </c>
      <c r="L16" s="18">
        <f>VLOOKUP($H16,'bbox data'!$L$4:$O$21,4,0)</f>
        <v>4000</v>
      </c>
      <c r="M16" s="57">
        <f t="shared" si="0"/>
        <v>42650</v>
      </c>
      <c r="O16" s="83"/>
      <c r="P16" s="15" t="s">
        <v>99</v>
      </c>
      <c r="Q16" s="15">
        <v>16000</v>
      </c>
      <c r="R16" s="15">
        <v>2000</v>
      </c>
      <c r="S16" s="15">
        <v>2000</v>
      </c>
      <c r="T16" t="s">
        <v>148</v>
      </c>
    </row>
    <row r="17" spans="1:20" x14ac:dyDescent="0.4">
      <c r="A17">
        <v>15</v>
      </c>
      <c r="C17" t="s">
        <v>87</v>
      </c>
      <c r="D17" s="6" t="s">
        <v>99</v>
      </c>
      <c r="E17" s="5">
        <f t="shared" si="1"/>
        <v>6250</v>
      </c>
      <c r="H17" s="17" t="s">
        <v>97</v>
      </c>
      <c r="I17" s="15">
        <f>VLOOKUP(H17,'bbox data'!$C$4:$D$27,2,0)</f>
        <v>3725</v>
      </c>
      <c r="J17" s="15">
        <f>VLOOKUP($H17,'bbox data'!$G$4:$I$14,3,0)</f>
        <v>400</v>
      </c>
      <c r="K17" s="15"/>
      <c r="L17" s="18"/>
      <c r="M17" s="43">
        <f t="shared" si="0"/>
        <v>4125</v>
      </c>
      <c r="O17" s="83"/>
      <c r="P17" s="15"/>
      <c r="Q17" s="15"/>
      <c r="R17" s="15"/>
      <c r="S17" s="15"/>
    </row>
    <row r="18" spans="1:20" x14ac:dyDescent="0.4">
      <c r="A18">
        <v>16</v>
      </c>
      <c r="C18" t="s">
        <v>88</v>
      </c>
      <c r="D18" s="6" t="s">
        <v>101</v>
      </c>
      <c r="E18" s="5">
        <f t="shared" si="1"/>
        <v>1840</v>
      </c>
      <c r="H18" s="19" t="s">
        <v>117</v>
      </c>
      <c r="I18" s="15">
        <f>VLOOKUP(H18,'bbox data'!$C$4:$D$27,2,0)</f>
        <v>680</v>
      </c>
      <c r="J18" s="15"/>
      <c r="K18" s="15"/>
      <c r="L18" s="18"/>
      <c r="M18" s="43">
        <f t="shared" si="0"/>
        <v>680</v>
      </c>
      <c r="O18" s="83"/>
      <c r="P18" s="16"/>
      <c r="Q18" s="15"/>
      <c r="R18" s="15"/>
      <c r="S18" s="15"/>
    </row>
    <row r="19" spans="1:20" x14ac:dyDescent="0.4">
      <c r="A19">
        <v>17</v>
      </c>
      <c r="B19" t="s">
        <v>90</v>
      </c>
      <c r="D19" s="11" t="s">
        <v>102</v>
      </c>
      <c r="E19" s="10">
        <f t="shared" si="1"/>
        <v>5</v>
      </c>
      <c r="H19" s="17" t="s">
        <v>68</v>
      </c>
      <c r="I19" s="15">
        <f>VLOOKUP(H19,'bbox data'!$C$4:$D$27,2,0)</f>
        <v>420</v>
      </c>
      <c r="J19" s="15"/>
      <c r="K19" s="15"/>
      <c r="L19" s="18"/>
      <c r="M19" s="43">
        <f t="shared" si="0"/>
        <v>420</v>
      </c>
      <c r="O19" s="83"/>
      <c r="P19" s="15"/>
      <c r="Q19" s="15"/>
      <c r="R19" s="15"/>
      <c r="S19" s="15"/>
    </row>
    <row r="20" spans="1:20" x14ac:dyDescent="0.4">
      <c r="A20">
        <v>18</v>
      </c>
      <c r="B20" t="s">
        <v>91</v>
      </c>
      <c r="D20" s="4" t="s">
        <v>103</v>
      </c>
      <c r="E20" s="5">
        <f t="shared" si="1"/>
        <v>631</v>
      </c>
      <c r="H20" s="17" t="s">
        <v>82</v>
      </c>
      <c r="I20" s="15">
        <f>VLOOKUP(H20,'bbox data'!$C$4:$D$27,2,0)</f>
        <v>1107</v>
      </c>
      <c r="J20" s="15"/>
      <c r="K20" s="15"/>
      <c r="L20" s="18"/>
      <c r="M20" s="43">
        <f t="shared" si="0"/>
        <v>1107</v>
      </c>
      <c r="O20" s="83"/>
      <c r="P20" s="15"/>
      <c r="Q20" s="15"/>
      <c r="R20" s="15"/>
      <c r="S20" s="15"/>
    </row>
    <row r="21" spans="1:20" x14ac:dyDescent="0.4">
      <c r="B21" s="1" t="s">
        <v>108</v>
      </c>
      <c r="C21" s="1"/>
      <c r="D21" s="12" t="s">
        <v>115</v>
      </c>
      <c r="E21" s="10">
        <f t="shared" si="1"/>
        <v>35</v>
      </c>
      <c r="H21" s="19" t="s">
        <v>119</v>
      </c>
      <c r="I21" s="15">
        <f>VLOOKUP(H21,'bbox data'!$C$4:$D$27,2,0)</f>
        <v>140</v>
      </c>
      <c r="J21" s="15"/>
      <c r="K21" s="15"/>
      <c r="L21" s="18"/>
      <c r="M21" s="43">
        <f t="shared" si="0"/>
        <v>140</v>
      </c>
      <c r="O21" s="83"/>
      <c r="P21" s="16"/>
      <c r="Q21" s="15"/>
      <c r="R21" s="15"/>
      <c r="S21" s="15"/>
    </row>
    <row r="22" spans="1:20" x14ac:dyDescent="0.4">
      <c r="B22" s="1" t="s">
        <v>109</v>
      </c>
      <c r="C22" s="1"/>
      <c r="D22" s="6" t="s">
        <v>105</v>
      </c>
      <c r="E22" s="5">
        <f t="shared" si="1"/>
        <v>2577</v>
      </c>
      <c r="H22" s="17" t="s">
        <v>103</v>
      </c>
      <c r="I22" s="15">
        <f>VLOOKUP(H22,'bbox data'!$C$4:$D$27,2,0)</f>
        <v>631</v>
      </c>
      <c r="J22" s="15"/>
      <c r="K22" s="15"/>
      <c r="L22" s="18"/>
      <c r="M22" s="43">
        <f t="shared" si="0"/>
        <v>631</v>
      </c>
      <c r="O22" s="83"/>
      <c r="P22" s="15"/>
      <c r="Q22" s="15"/>
      <c r="R22" s="15"/>
      <c r="S22" s="15"/>
    </row>
    <row r="23" spans="1:20" x14ac:dyDescent="0.4">
      <c r="B23" s="1" t="s">
        <v>110</v>
      </c>
      <c r="C23" s="1"/>
      <c r="D23" s="6" t="s">
        <v>116</v>
      </c>
      <c r="E23" s="5">
        <f t="shared" si="1"/>
        <v>304</v>
      </c>
      <c r="H23" s="17" t="s">
        <v>105</v>
      </c>
      <c r="I23" s="15">
        <f>VLOOKUP(H23,'bbox data'!$C$4:$D$27,2,0)</f>
        <v>2577</v>
      </c>
      <c r="J23" s="15">
        <f>VLOOKUP($H23,'bbox data'!$G$4:$I$14,3,0)</f>
        <v>425</v>
      </c>
      <c r="K23" s="15">
        <f>VLOOKUP($H23,'bbox data'!$L$4:$O$21,2,0)</f>
        <v>24000</v>
      </c>
      <c r="L23" s="18">
        <f>VLOOKUP($H23,'bbox data'!$L$4:$O$21,4,0)</f>
        <v>3000</v>
      </c>
      <c r="M23" s="57">
        <f t="shared" si="0"/>
        <v>30002</v>
      </c>
      <c r="O23" s="83"/>
      <c r="P23" s="15" t="s">
        <v>105</v>
      </c>
      <c r="Q23" s="15">
        <v>16000</v>
      </c>
      <c r="R23" s="15">
        <v>2000</v>
      </c>
      <c r="S23" s="15">
        <v>2000</v>
      </c>
      <c r="T23" t="s">
        <v>148</v>
      </c>
    </row>
    <row r="24" spans="1:20" x14ac:dyDescent="0.4">
      <c r="B24" s="1" t="s">
        <v>111</v>
      </c>
      <c r="C24" s="1"/>
      <c r="D24" s="6" t="s">
        <v>117</v>
      </c>
      <c r="E24" s="5">
        <f t="shared" si="1"/>
        <v>680</v>
      </c>
      <c r="H24" s="17" t="s">
        <v>72</v>
      </c>
      <c r="I24" s="15">
        <f>VLOOKUP(H24,'bbox data'!$C$4:$D$27,2,0)</f>
        <v>1720</v>
      </c>
      <c r="J24" s="15">
        <f>VLOOKUP($H24,'bbox data'!$G$4:$I$14,3,0)</f>
        <v>400</v>
      </c>
      <c r="K24" s="15">
        <f>VLOOKUP($H24,'bbox data'!$L$4:$O$21,2,0)</f>
        <v>32000</v>
      </c>
      <c r="L24" s="18">
        <f>VLOOKUP($H24,'bbox data'!$L$4:$O$21,4,0)</f>
        <v>4000</v>
      </c>
      <c r="M24" s="57">
        <f t="shared" si="0"/>
        <v>38120</v>
      </c>
      <c r="O24" s="83"/>
      <c r="P24" s="15" t="s">
        <v>72</v>
      </c>
      <c r="Q24" s="15">
        <v>16000</v>
      </c>
      <c r="R24" s="15">
        <v>2000</v>
      </c>
      <c r="S24" s="15">
        <v>2000</v>
      </c>
      <c r="T24" t="s">
        <v>148</v>
      </c>
    </row>
    <row r="25" spans="1:20" x14ac:dyDescent="0.4">
      <c r="B25" s="1" t="s">
        <v>112</v>
      </c>
      <c r="C25" s="1"/>
      <c r="D25" s="6" t="s">
        <v>118</v>
      </c>
      <c r="E25" s="5">
        <f t="shared" si="1"/>
        <v>550</v>
      </c>
      <c r="H25" s="17" t="s">
        <v>116</v>
      </c>
      <c r="I25" s="15">
        <f>VLOOKUP(H25,'bbox data'!$C$4:$D$27,2,0)</f>
        <v>304</v>
      </c>
      <c r="J25" s="15"/>
      <c r="K25" s="15"/>
      <c r="L25" s="18"/>
      <c r="M25" s="43">
        <f t="shared" si="0"/>
        <v>304</v>
      </c>
      <c r="O25" s="83"/>
      <c r="P25" s="15"/>
      <c r="Q25" s="15"/>
      <c r="R25" s="15"/>
      <c r="S25" s="15"/>
    </row>
    <row r="26" spans="1:20" x14ac:dyDescent="0.4">
      <c r="B26" s="1" t="s">
        <v>113</v>
      </c>
      <c r="C26" s="1"/>
      <c r="D26" s="6" t="s">
        <v>119</v>
      </c>
      <c r="E26" s="5">
        <f t="shared" si="1"/>
        <v>140</v>
      </c>
      <c r="H26" s="17" t="s">
        <v>67</v>
      </c>
      <c r="I26" s="15">
        <f>VLOOKUP(H26,'bbox data'!$C$4:$D$27,2,0)</f>
        <v>1926</v>
      </c>
      <c r="J26" s="15">
        <f>VLOOKUP($H26,'bbox data'!$G$4:$I$14,3,0)</f>
        <v>400</v>
      </c>
      <c r="K26" s="15">
        <f>VLOOKUP($H26,'bbox data'!$L$4:$O$21,2,0)</f>
        <v>16000</v>
      </c>
      <c r="L26" s="18">
        <f>VLOOKUP($H26,'bbox data'!$L$4:$O$21,4,0)</f>
        <v>2000</v>
      </c>
      <c r="M26" s="57">
        <f t="shared" si="0"/>
        <v>20326</v>
      </c>
      <c r="O26" s="83"/>
      <c r="P26" s="15" t="s">
        <v>67</v>
      </c>
      <c r="Q26" s="58">
        <f>K26</f>
        <v>16000</v>
      </c>
      <c r="R26" s="58">
        <f>SUM(I26:J26)</f>
        <v>2326</v>
      </c>
      <c r="S26" s="58">
        <f>L26</f>
        <v>2000</v>
      </c>
    </row>
    <row r="27" spans="1:20" ht="18" thickBot="1" x14ac:dyDescent="0.45">
      <c r="B27" s="1" t="s">
        <v>114</v>
      </c>
      <c r="C27" s="1"/>
      <c r="D27" s="7" t="s">
        <v>120</v>
      </c>
      <c r="E27" s="8">
        <v>0</v>
      </c>
      <c r="H27" s="21" t="s">
        <v>134</v>
      </c>
      <c r="I27" s="22"/>
      <c r="J27" s="22"/>
      <c r="K27" s="22">
        <f>VLOOKUP($H27,'bbox data'!$L$4:$O$21,2,0)</f>
        <v>32000</v>
      </c>
      <c r="L27" s="23">
        <f>VLOOKUP($H27,'bbox data'!$L$4:$O$21,4,0)</f>
        <v>4000</v>
      </c>
      <c r="M27" s="57">
        <f t="shared" si="0"/>
        <v>36000</v>
      </c>
      <c r="O27" s="83"/>
      <c r="P27" s="15" t="s">
        <v>134</v>
      </c>
      <c r="Q27" s="15">
        <v>16000</v>
      </c>
      <c r="R27" s="15">
        <v>2000</v>
      </c>
      <c r="S27" s="15">
        <v>2000</v>
      </c>
      <c r="T27" t="s">
        <v>148</v>
      </c>
    </row>
    <row r="28" spans="1:20" x14ac:dyDescent="0.4">
      <c r="H28" s="36" t="s">
        <v>138</v>
      </c>
      <c r="K28" s="36">
        <v>40000</v>
      </c>
      <c r="L28" s="38">
        <v>5000</v>
      </c>
      <c r="O28" s="83" t="s">
        <v>122</v>
      </c>
      <c r="P28" s="36" t="s">
        <v>138</v>
      </c>
      <c r="Q28" s="36">
        <v>7000</v>
      </c>
      <c r="R28" s="36">
        <v>1000</v>
      </c>
      <c r="S28" s="36">
        <v>1000</v>
      </c>
      <c r="T28" t="s">
        <v>148</v>
      </c>
    </row>
    <row r="29" spans="1:20" x14ac:dyDescent="0.4">
      <c r="H29" s="36" t="s">
        <v>139</v>
      </c>
      <c r="K29" s="36">
        <v>80000</v>
      </c>
      <c r="L29" s="38">
        <v>10000</v>
      </c>
      <c r="O29" s="83"/>
      <c r="P29" s="36" t="s">
        <v>139</v>
      </c>
      <c r="Q29" s="36">
        <v>7000</v>
      </c>
      <c r="R29" s="36">
        <v>1000</v>
      </c>
      <c r="S29" s="36">
        <v>1000</v>
      </c>
      <c r="T29" t="s">
        <v>148</v>
      </c>
    </row>
    <row r="30" spans="1:20" x14ac:dyDescent="0.4">
      <c r="H30" s="36" t="s">
        <v>141</v>
      </c>
      <c r="K30" s="36">
        <v>8000</v>
      </c>
      <c r="L30" s="38">
        <v>1000</v>
      </c>
      <c r="O30" s="83"/>
      <c r="P30" s="36" t="s">
        <v>141</v>
      </c>
      <c r="Q30" s="36">
        <v>7000</v>
      </c>
      <c r="R30" s="36">
        <v>1000</v>
      </c>
      <c r="S30" s="36">
        <v>1000</v>
      </c>
      <c r="T30" t="s">
        <v>148</v>
      </c>
    </row>
    <row r="31" spans="1:20" x14ac:dyDescent="0.4">
      <c r="H31" s="36" t="s">
        <v>142</v>
      </c>
      <c r="K31" s="36">
        <v>8000</v>
      </c>
      <c r="L31" s="38">
        <v>1000</v>
      </c>
      <c r="O31" s="83"/>
      <c r="P31" s="36" t="s">
        <v>142</v>
      </c>
      <c r="Q31" s="36">
        <v>7000</v>
      </c>
      <c r="R31" s="36">
        <v>1000</v>
      </c>
      <c r="S31" s="36">
        <v>1000</v>
      </c>
      <c r="T31" t="s">
        <v>148</v>
      </c>
    </row>
    <row r="32" spans="1:20" ht="18" thickBot="1" x14ac:dyDescent="0.45">
      <c r="H32" s="36" t="s">
        <v>143</v>
      </c>
      <c r="K32" s="36">
        <v>8000</v>
      </c>
      <c r="L32" s="38">
        <v>1000</v>
      </c>
      <c r="O32" s="84"/>
      <c r="P32" s="40" t="s">
        <v>143</v>
      </c>
      <c r="Q32" s="40">
        <v>7000</v>
      </c>
      <c r="R32" s="40">
        <v>1000</v>
      </c>
      <c r="S32" s="40">
        <v>1000</v>
      </c>
      <c r="T32" t="s">
        <v>148</v>
      </c>
    </row>
    <row r="33" spans="18:18" x14ac:dyDescent="0.4">
      <c r="R33">
        <f>SUM(Q28:Q32)/SUM(Q3:Q27)</f>
        <v>0.24305555555555555</v>
      </c>
    </row>
  </sheetData>
  <mergeCells count="6">
    <mergeCell ref="I1:J1"/>
    <mergeCell ref="K1:L1"/>
    <mergeCell ref="M1:M2"/>
    <mergeCell ref="O3:O27"/>
    <mergeCell ref="O28:O32"/>
    <mergeCell ref="O1:S1"/>
  </mergeCells>
  <phoneticPr fontId="2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5A3C-B1DC-4AE2-B6E3-C7AADF0B3D3C}">
  <sheetPr codeName="Sheet3"/>
  <dimension ref="A1:V54"/>
  <sheetViews>
    <sheetView zoomScale="70" zoomScaleNormal="70" workbookViewId="0">
      <selection activeCell="L16" sqref="L16"/>
    </sheetView>
  </sheetViews>
  <sheetFormatPr defaultRowHeight="17.399999999999999" x14ac:dyDescent="0.4"/>
  <cols>
    <col min="2" max="2" width="17.3984375" bestFit="1" customWidth="1"/>
    <col min="3" max="3" width="21.8984375" bestFit="1" customWidth="1"/>
    <col min="4" max="4" width="5.3984375" bestFit="1" customWidth="1"/>
    <col min="6" max="6" width="17.69921875" bestFit="1" customWidth="1"/>
    <col min="8" max="8" width="8.796875" hidden="1" customWidth="1"/>
    <col min="11" max="11" width="37.09765625" bestFit="1" customWidth="1"/>
  </cols>
  <sheetData>
    <row r="1" spans="1:22" ht="18" thickBot="1" x14ac:dyDescent="0.45"/>
    <row r="2" spans="1:22" s="14" customFormat="1" x14ac:dyDescent="0.4">
      <c r="A2" s="67" t="s">
        <v>0</v>
      </c>
      <c r="B2" s="68"/>
      <c r="C2" s="68"/>
      <c r="D2" s="68"/>
      <c r="E2" s="68"/>
      <c r="F2" s="68"/>
      <c r="G2" s="68"/>
      <c r="H2" s="68"/>
      <c r="I2" s="68"/>
      <c r="J2" s="65" t="s">
        <v>1</v>
      </c>
      <c r="K2" s="66"/>
      <c r="L2" s="66"/>
      <c r="M2" s="51"/>
      <c r="O2" s="69" t="s">
        <v>127</v>
      </c>
      <c r="P2" s="70"/>
      <c r="Q2" s="70"/>
      <c r="R2" s="70"/>
      <c r="S2" s="70"/>
      <c r="T2" s="70"/>
      <c r="U2" s="70"/>
      <c r="V2" s="71"/>
    </row>
    <row r="3" spans="1:22" s="14" customFormat="1" ht="18" thickBot="1" x14ac:dyDescent="0.45">
      <c r="A3" s="27"/>
      <c r="B3" s="42">
        <v>2020</v>
      </c>
      <c r="C3" s="28" t="s">
        <v>121</v>
      </c>
      <c r="D3" s="30" t="s">
        <v>145</v>
      </c>
      <c r="E3" s="27"/>
      <c r="F3" s="28">
        <v>2022</v>
      </c>
      <c r="G3" s="28"/>
      <c r="H3" s="28" t="s">
        <v>123</v>
      </c>
      <c r="I3" s="30" t="s">
        <v>124</v>
      </c>
      <c r="J3" s="27"/>
      <c r="K3" s="28"/>
      <c r="L3" s="28"/>
      <c r="M3" s="28" t="s">
        <v>128</v>
      </c>
      <c r="O3" s="72" t="s">
        <v>106</v>
      </c>
      <c r="P3" s="73"/>
      <c r="Q3" s="73"/>
      <c r="R3" s="74"/>
      <c r="S3" s="28"/>
      <c r="T3" s="75" t="s">
        <v>107</v>
      </c>
      <c r="U3" s="73"/>
      <c r="V3" s="76"/>
    </row>
    <row r="4" spans="1:22" ht="18" thickTop="1" x14ac:dyDescent="0.4">
      <c r="A4" s="24">
        <v>1</v>
      </c>
      <c r="B4" s="43" t="s">
        <v>20</v>
      </c>
      <c r="C4" s="25" t="s">
        <v>61</v>
      </c>
      <c r="D4" s="31">
        <v>710</v>
      </c>
      <c r="E4" s="24">
        <v>1</v>
      </c>
      <c r="F4" s="25" t="s">
        <v>44</v>
      </c>
      <c r="G4" s="25" t="s">
        <v>60</v>
      </c>
      <c r="H4" s="25">
        <v>610</v>
      </c>
      <c r="I4" s="31">
        <v>100</v>
      </c>
      <c r="J4" s="24">
        <v>1</v>
      </c>
      <c r="K4" s="25" t="s">
        <v>2</v>
      </c>
      <c r="L4" s="25" t="s">
        <v>61</v>
      </c>
      <c r="M4" s="25">
        <v>4000</v>
      </c>
      <c r="O4" s="24">
        <v>0</v>
      </c>
      <c r="P4" s="25" t="s">
        <v>55</v>
      </c>
      <c r="Q4" s="25" t="s">
        <v>56</v>
      </c>
      <c r="R4" s="25" t="s">
        <v>59</v>
      </c>
      <c r="S4" s="25"/>
      <c r="T4" s="25">
        <v>18</v>
      </c>
      <c r="U4" s="49" t="s">
        <v>108</v>
      </c>
      <c r="V4" s="26" t="s">
        <v>115</v>
      </c>
    </row>
    <row r="5" spans="1:22" x14ac:dyDescent="0.4">
      <c r="A5" s="17">
        <v>2</v>
      </c>
      <c r="B5" s="44" t="s">
        <v>21</v>
      </c>
      <c r="C5" s="15" t="s">
        <v>63</v>
      </c>
      <c r="D5" s="32">
        <v>307</v>
      </c>
      <c r="E5" s="17">
        <v>2</v>
      </c>
      <c r="F5" s="15" t="s">
        <v>45</v>
      </c>
      <c r="G5" s="15" t="s">
        <v>62</v>
      </c>
      <c r="H5" s="15">
        <v>81</v>
      </c>
      <c r="I5" s="32">
        <v>40</v>
      </c>
      <c r="J5" s="17">
        <v>2</v>
      </c>
      <c r="K5" s="15" t="s">
        <v>3</v>
      </c>
      <c r="L5" s="15" t="s">
        <v>59</v>
      </c>
      <c r="M5" s="15">
        <v>3000</v>
      </c>
      <c r="O5" s="17">
        <v>1</v>
      </c>
      <c r="P5" s="15"/>
      <c r="Q5" s="15" t="s">
        <v>57</v>
      </c>
      <c r="R5" s="47" t="s">
        <v>61</v>
      </c>
      <c r="S5" s="15"/>
      <c r="T5" s="25">
        <v>19</v>
      </c>
      <c r="U5" s="16" t="s">
        <v>109</v>
      </c>
      <c r="V5" s="18" t="s">
        <v>105</v>
      </c>
    </row>
    <row r="6" spans="1:22" x14ac:dyDescent="0.4">
      <c r="A6" s="17">
        <v>3</v>
      </c>
      <c r="B6" s="44" t="s">
        <v>22</v>
      </c>
      <c r="C6" s="15" t="s">
        <v>59</v>
      </c>
      <c r="D6" s="32">
        <v>726</v>
      </c>
      <c r="E6" s="17">
        <v>3</v>
      </c>
      <c r="F6" s="15" t="s">
        <v>46</v>
      </c>
      <c r="G6" s="15" t="s">
        <v>58</v>
      </c>
      <c r="H6" s="15">
        <v>844</v>
      </c>
      <c r="I6" s="32">
        <v>100</v>
      </c>
      <c r="J6" s="17">
        <v>3</v>
      </c>
      <c r="K6" s="15" t="s">
        <v>4</v>
      </c>
      <c r="L6" s="15" t="s">
        <v>67</v>
      </c>
      <c r="M6" s="15">
        <v>2999</v>
      </c>
      <c r="O6" s="17">
        <v>2</v>
      </c>
      <c r="P6" s="15"/>
      <c r="Q6" s="15" t="s">
        <v>64</v>
      </c>
      <c r="R6" s="47" t="s">
        <v>63</v>
      </c>
      <c r="S6" s="15"/>
      <c r="T6" s="25">
        <v>20</v>
      </c>
      <c r="U6" s="16" t="s">
        <v>110</v>
      </c>
      <c r="V6" s="18" t="s">
        <v>116</v>
      </c>
    </row>
    <row r="7" spans="1:22" x14ac:dyDescent="0.4">
      <c r="A7" s="17">
        <v>4</v>
      </c>
      <c r="B7" s="45" t="s">
        <v>23</v>
      </c>
      <c r="C7" s="16" t="s">
        <v>115</v>
      </c>
      <c r="D7" s="33">
        <v>24</v>
      </c>
      <c r="E7" s="17">
        <v>4</v>
      </c>
      <c r="F7" s="15" t="s">
        <v>47</v>
      </c>
      <c r="G7" s="15" t="s">
        <v>66</v>
      </c>
      <c r="H7" s="15">
        <v>500</v>
      </c>
      <c r="I7" s="32">
        <v>100</v>
      </c>
      <c r="J7" s="17">
        <v>4</v>
      </c>
      <c r="K7" s="15" t="s">
        <v>5</v>
      </c>
      <c r="L7" s="15" t="s">
        <v>72</v>
      </c>
      <c r="M7" s="15">
        <v>3000</v>
      </c>
      <c r="O7" s="17">
        <v>3</v>
      </c>
      <c r="P7" s="15" t="s">
        <v>65</v>
      </c>
      <c r="Q7" s="15"/>
      <c r="R7" s="47" t="s">
        <v>67</v>
      </c>
      <c r="S7" s="15"/>
      <c r="T7" s="25">
        <v>21</v>
      </c>
      <c r="U7" s="16" t="s">
        <v>111</v>
      </c>
      <c r="V7" s="18" t="s">
        <v>117</v>
      </c>
    </row>
    <row r="8" spans="1:22" x14ac:dyDescent="0.4">
      <c r="A8" s="17">
        <v>5</v>
      </c>
      <c r="B8" s="44" t="s">
        <v>24</v>
      </c>
      <c r="C8" s="15" t="s">
        <v>69</v>
      </c>
      <c r="D8" s="32">
        <v>112</v>
      </c>
      <c r="E8" s="17">
        <v>5</v>
      </c>
      <c r="F8" s="15" t="s">
        <v>48</v>
      </c>
      <c r="G8" s="15" t="s">
        <v>71</v>
      </c>
      <c r="H8" s="15">
        <v>500</v>
      </c>
      <c r="I8" s="32">
        <v>100</v>
      </c>
      <c r="J8" s="17">
        <v>5</v>
      </c>
      <c r="K8" s="15" t="s">
        <v>6</v>
      </c>
      <c r="L8" s="15" t="s">
        <v>93</v>
      </c>
      <c r="M8" s="15">
        <v>3000</v>
      </c>
      <c r="O8" s="17">
        <v>4</v>
      </c>
      <c r="P8" s="15" t="s">
        <v>73</v>
      </c>
      <c r="Q8" s="15"/>
      <c r="R8" s="47" t="s">
        <v>68</v>
      </c>
      <c r="S8" s="15"/>
      <c r="T8" s="25">
        <v>22</v>
      </c>
      <c r="U8" s="16" t="s">
        <v>112</v>
      </c>
      <c r="V8" s="18" t="s">
        <v>118</v>
      </c>
    </row>
    <row r="9" spans="1:22" x14ac:dyDescent="0.4">
      <c r="A9" s="17">
        <v>6</v>
      </c>
      <c r="B9" s="44" t="s">
        <v>25</v>
      </c>
      <c r="C9" s="15" t="s">
        <v>70</v>
      </c>
      <c r="D9" s="32">
        <v>73</v>
      </c>
      <c r="E9" s="17">
        <v>6</v>
      </c>
      <c r="F9" s="15" t="s">
        <v>49</v>
      </c>
      <c r="G9" s="15" t="s">
        <v>92</v>
      </c>
      <c r="H9" s="15">
        <v>500</v>
      </c>
      <c r="I9" s="32">
        <v>100</v>
      </c>
      <c r="J9" s="17">
        <v>6</v>
      </c>
      <c r="K9" s="15" t="s">
        <v>7</v>
      </c>
      <c r="L9" s="15" t="s">
        <v>99</v>
      </c>
      <c r="M9" s="15">
        <v>3000</v>
      </c>
      <c r="O9" s="17">
        <v>5</v>
      </c>
      <c r="P9" s="15" t="s">
        <v>74</v>
      </c>
      <c r="Q9" s="15"/>
      <c r="R9" s="47" t="s">
        <v>69</v>
      </c>
      <c r="S9" s="15"/>
      <c r="T9" s="25">
        <v>23</v>
      </c>
      <c r="U9" s="16" t="s">
        <v>113</v>
      </c>
      <c r="V9" s="18" t="s">
        <v>119</v>
      </c>
    </row>
    <row r="10" spans="1:22" x14ac:dyDescent="0.4">
      <c r="A10" s="17">
        <v>7</v>
      </c>
      <c r="B10" s="44" t="s">
        <v>26</v>
      </c>
      <c r="C10" s="15" t="s">
        <v>78</v>
      </c>
      <c r="D10" s="32">
        <v>9</v>
      </c>
      <c r="E10" s="17">
        <v>7</v>
      </c>
      <c r="F10" s="15" t="s">
        <v>50</v>
      </c>
      <c r="G10" s="15" t="s">
        <v>94</v>
      </c>
      <c r="H10" s="15">
        <v>500</v>
      </c>
      <c r="I10" s="32">
        <v>100</v>
      </c>
      <c r="J10" s="17">
        <v>7</v>
      </c>
      <c r="K10" s="15" t="s">
        <v>152</v>
      </c>
      <c r="L10" s="15" t="s">
        <v>101</v>
      </c>
      <c r="M10" s="15">
        <v>3000</v>
      </c>
      <c r="O10" s="17">
        <v>6</v>
      </c>
      <c r="P10" s="15" t="s">
        <v>75</v>
      </c>
      <c r="Q10" s="15"/>
      <c r="R10" s="47" t="s">
        <v>70</v>
      </c>
      <c r="S10" s="15"/>
      <c r="T10" s="25">
        <v>24</v>
      </c>
      <c r="U10" s="16" t="s">
        <v>114</v>
      </c>
      <c r="V10" s="18" t="s">
        <v>120</v>
      </c>
    </row>
    <row r="11" spans="1:22" x14ac:dyDescent="0.4">
      <c r="A11" s="17">
        <v>8</v>
      </c>
      <c r="B11" s="45" t="s">
        <v>27</v>
      </c>
      <c r="C11" s="16" t="s">
        <v>118</v>
      </c>
      <c r="D11" s="33">
        <v>144</v>
      </c>
      <c r="E11" s="17">
        <v>8</v>
      </c>
      <c r="F11" s="15" t="s">
        <v>51</v>
      </c>
      <c r="G11" s="15" t="s">
        <v>100</v>
      </c>
      <c r="H11" s="15">
        <v>500</v>
      </c>
      <c r="I11" s="32">
        <v>100</v>
      </c>
      <c r="J11" s="17">
        <v>9</v>
      </c>
      <c r="K11" s="15" t="s">
        <v>10</v>
      </c>
      <c r="L11" s="15" t="s">
        <v>105</v>
      </c>
      <c r="M11" s="15">
        <v>3000</v>
      </c>
      <c r="O11" s="17">
        <v>7</v>
      </c>
      <c r="P11" s="15" t="s">
        <v>76</v>
      </c>
      <c r="Q11" s="15"/>
      <c r="R11" s="47" t="s">
        <v>72</v>
      </c>
      <c r="S11" s="15"/>
      <c r="T11" s="15"/>
      <c r="U11" s="15"/>
      <c r="V11" s="18"/>
    </row>
    <row r="12" spans="1:22" x14ac:dyDescent="0.4">
      <c r="A12" s="17">
        <v>9</v>
      </c>
      <c r="B12" s="44" t="s">
        <v>28</v>
      </c>
      <c r="C12" s="15" t="s">
        <v>102</v>
      </c>
      <c r="D12" s="32">
        <v>0</v>
      </c>
      <c r="E12" s="17">
        <v>9</v>
      </c>
      <c r="F12" s="15" t="s">
        <v>52</v>
      </c>
      <c r="G12" s="15" t="s">
        <v>98</v>
      </c>
      <c r="H12" s="15">
        <v>500</v>
      </c>
      <c r="I12" s="32">
        <v>100</v>
      </c>
      <c r="J12" s="17">
        <v>10</v>
      </c>
      <c r="K12" s="15" t="s">
        <v>11</v>
      </c>
      <c r="L12" s="15" t="s">
        <v>134</v>
      </c>
      <c r="M12" s="15">
        <v>5000</v>
      </c>
      <c r="O12" s="17">
        <v>8</v>
      </c>
      <c r="P12" s="15" t="s">
        <v>77</v>
      </c>
      <c r="Q12" s="15"/>
      <c r="R12" s="15" t="s">
        <v>78</v>
      </c>
      <c r="S12" s="15"/>
      <c r="T12" s="15"/>
      <c r="U12" s="15"/>
      <c r="V12" s="18"/>
    </row>
    <row r="13" spans="1:22" x14ac:dyDescent="0.4">
      <c r="A13" s="17">
        <v>10</v>
      </c>
      <c r="B13" s="44" t="s">
        <v>29</v>
      </c>
      <c r="C13" s="15" t="s">
        <v>93</v>
      </c>
      <c r="D13" s="32">
        <v>800</v>
      </c>
      <c r="E13" s="17">
        <v>10</v>
      </c>
      <c r="F13" s="15" t="s">
        <v>53</v>
      </c>
      <c r="G13" s="15" t="s">
        <v>96</v>
      </c>
      <c r="H13" s="15">
        <v>500</v>
      </c>
      <c r="I13" s="32">
        <v>100</v>
      </c>
      <c r="O13" s="17">
        <v>9</v>
      </c>
      <c r="P13" s="15" t="s">
        <v>79</v>
      </c>
      <c r="Q13" s="15"/>
      <c r="R13" s="47" t="s">
        <v>81</v>
      </c>
      <c r="S13" s="15"/>
      <c r="T13" s="15"/>
      <c r="U13" s="15"/>
      <c r="V13" s="18"/>
    </row>
    <row r="14" spans="1:22" ht="18" thickBot="1" x14ac:dyDescent="0.45">
      <c r="A14" s="17">
        <v>11</v>
      </c>
      <c r="B14" s="44" t="s">
        <v>30</v>
      </c>
      <c r="C14" s="15" t="s">
        <v>95</v>
      </c>
      <c r="D14" s="32">
        <v>890</v>
      </c>
      <c r="E14" s="21">
        <v>11</v>
      </c>
      <c r="F14" s="34" t="s">
        <v>54</v>
      </c>
      <c r="G14" s="34" t="s">
        <v>104</v>
      </c>
      <c r="H14" s="22">
        <v>525</v>
      </c>
      <c r="I14" s="35">
        <v>100</v>
      </c>
      <c r="O14" s="17">
        <v>10</v>
      </c>
      <c r="P14" s="15" t="s">
        <v>80</v>
      </c>
      <c r="Q14" s="15"/>
      <c r="R14" s="15" t="s">
        <v>82</v>
      </c>
      <c r="S14" s="15"/>
      <c r="T14" s="15"/>
      <c r="U14" s="15"/>
      <c r="V14" s="18"/>
    </row>
    <row r="15" spans="1:22" x14ac:dyDescent="0.4">
      <c r="A15" s="17">
        <v>12</v>
      </c>
      <c r="B15" s="44" t="s">
        <v>31</v>
      </c>
      <c r="C15" s="15" t="s">
        <v>81</v>
      </c>
      <c r="D15" s="18">
        <v>224</v>
      </c>
      <c r="O15" s="17">
        <v>11</v>
      </c>
      <c r="P15" s="15" t="s">
        <v>83</v>
      </c>
      <c r="Q15" s="15" t="s">
        <v>84</v>
      </c>
      <c r="R15" s="15" t="s">
        <v>93</v>
      </c>
      <c r="S15" s="15"/>
      <c r="T15" s="15"/>
      <c r="U15" s="15"/>
      <c r="V15" s="18"/>
    </row>
    <row r="16" spans="1:22" x14ac:dyDescent="0.4">
      <c r="A16" s="17">
        <v>13</v>
      </c>
      <c r="B16" s="44" t="s">
        <v>32</v>
      </c>
      <c r="C16" s="15" t="s">
        <v>101</v>
      </c>
      <c r="D16" s="18">
        <v>579</v>
      </c>
      <c r="O16" s="17">
        <v>12</v>
      </c>
      <c r="P16" s="15"/>
      <c r="Q16" s="15" t="s">
        <v>85</v>
      </c>
      <c r="R16" s="15" t="s">
        <v>95</v>
      </c>
      <c r="S16" s="15"/>
      <c r="T16" s="15"/>
      <c r="U16" s="15"/>
      <c r="V16" s="18"/>
    </row>
    <row r="17" spans="1:22" x14ac:dyDescent="0.4">
      <c r="A17" s="17">
        <v>14</v>
      </c>
      <c r="B17" s="44" t="s">
        <v>33</v>
      </c>
      <c r="C17" s="15" t="s">
        <v>99</v>
      </c>
      <c r="D17" s="18">
        <v>800</v>
      </c>
      <c r="O17" s="17">
        <v>13</v>
      </c>
      <c r="P17" s="15" t="s">
        <v>89</v>
      </c>
      <c r="Q17" s="15" t="s">
        <v>86</v>
      </c>
      <c r="R17" s="15" t="s">
        <v>97</v>
      </c>
      <c r="S17" s="15"/>
      <c r="T17" s="15"/>
      <c r="U17" s="15"/>
      <c r="V17" s="18"/>
    </row>
    <row r="18" spans="1:22" x14ac:dyDescent="0.4">
      <c r="A18" s="17">
        <v>15</v>
      </c>
      <c r="B18" s="44" t="s">
        <v>34</v>
      </c>
      <c r="C18" s="15" t="s">
        <v>97</v>
      </c>
      <c r="D18" s="18">
        <v>800</v>
      </c>
      <c r="O18" s="17">
        <v>14</v>
      </c>
      <c r="P18" s="15"/>
      <c r="Q18" s="15" t="s">
        <v>87</v>
      </c>
      <c r="R18" s="15" t="s">
        <v>99</v>
      </c>
      <c r="S18" s="15"/>
      <c r="T18" s="15"/>
      <c r="U18" s="15"/>
      <c r="V18" s="18"/>
    </row>
    <row r="19" spans="1:22" x14ac:dyDescent="0.4">
      <c r="A19" s="17">
        <v>16</v>
      </c>
      <c r="B19" s="45" t="s">
        <v>35</v>
      </c>
      <c r="C19" s="16" t="s">
        <v>117</v>
      </c>
      <c r="D19" s="20">
        <v>181</v>
      </c>
      <c r="O19" s="17">
        <v>15</v>
      </c>
      <c r="P19" s="15"/>
      <c r="Q19" s="15" t="s">
        <v>88</v>
      </c>
      <c r="R19" s="15" t="s">
        <v>101</v>
      </c>
      <c r="S19" s="15"/>
      <c r="T19" s="15"/>
      <c r="U19" s="15"/>
      <c r="V19" s="18"/>
    </row>
    <row r="20" spans="1:22" x14ac:dyDescent="0.4">
      <c r="A20" s="17">
        <v>17</v>
      </c>
      <c r="B20" s="44" t="s">
        <v>36</v>
      </c>
      <c r="C20" s="15" t="s">
        <v>68</v>
      </c>
      <c r="D20" s="18">
        <v>105</v>
      </c>
      <c r="O20" s="17">
        <v>16</v>
      </c>
      <c r="P20" s="15" t="s">
        <v>90</v>
      </c>
      <c r="Q20" s="15"/>
      <c r="R20" s="47" t="s">
        <v>102</v>
      </c>
      <c r="S20" s="15"/>
      <c r="T20" s="15"/>
      <c r="U20" s="15"/>
      <c r="V20" s="18"/>
    </row>
    <row r="21" spans="1:22" ht="18" thickBot="1" x14ac:dyDescent="0.45">
      <c r="A21" s="17">
        <v>18</v>
      </c>
      <c r="B21" s="44" t="s">
        <v>37</v>
      </c>
      <c r="C21" s="15" t="s">
        <v>82</v>
      </c>
      <c r="D21" s="18">
        <v>347</v>
      </c>
      <c r="O21" s="17">
        <v>17</v>
      </c>
      <c r="P21" s="22" t="s">
        <v>91</v>
      </c>
      <c r="Q21" s="22"/>
      <c r="R21" s="48" t="s">
        <v>103</v>
      </c>
      <c r="S21" s="22"/>
      <c r="T21" s="22"/>
      <c r="U21" s="22"/>
      <c r="V21" s="23"/>
    </row>
    <row r="22" spans="1:22" x14ac:dyDescent="0.4">
      <c r="A22" s="17">
        <v>19</v>
      </c>
      <c r="B22" s="45" t="s">
        <v>38</v>
      </c>
      <c r="C22" s="16" t="s">
        <v>119</v>
      </c>
      <c r="D22" s="20">
        <v>132</v>
      </c>
      <c r="T22">
        <v>25</v>
      </c>
      <c r="U22" t="s">
        <v>147</v>
      </c>
      <c r="V22" t="s">
        <v>138</v>
      </c>
    </row>
    <row r="23" spans="1:22" x14ac:dyDescent="0.4">
      <c r="A23" s="17">
        <v>20</v>
      </c>
      <c r="B23" s="44" t="s">
        <v>39</v>
      </c>
      <c r="C23" s="15" t="s">
        <v>103</v>
      </c>
      <c r="D23" s="18">
        <v>583</v>
      </c>
      <c r="T23">
        <v>26</v>
      </c>
      <c r="U23" t="s">
        <v>134</v>
      </c>
    </row>
    <row r="24" spans="1:22" x14ac:dyDescent="0.4">
      <c r="A24" s="17">
        <v>21</v>
      </c>
      <c r="B24" s="44" t="s">
        <v>40</v>
      </c>
      <c r="C24" s="15" t="s">
        <v>105</v>
      </c>
      <c r="D24" s="18">
        <v>863</v>
      </c>
      <c r="T24">
        <v>27</v>
      </c>
      <c r="U24" t="s">
        <v>139</v>
      </c>
    </row>
    <row r="25" spans="1:22" x14ac:dyDescent="0.4">
      <c r="A25" s="17">
        <v>22</v>
      </c>
      <c r="B25" s="44" t="s">
        <v>41</v>
      </c>
      <c r="C25" s="15" t="s">
        <v>72</v>
      </c>
      <c r="D25" s="18">
        <v>730</v>
      </c>
      <c r="T25">
        <v>28</v>
      </c>
      <c r="U25" t="s">
        <v>149</v>
      </c>
    </row>
    <row r="26" spans="1:22" x14ac:dyDescent="0.4">
      <c r="A26" s="17">
        <v>23</v>
      </c>
      <c r="B26" s="44" t="s">
        <v>42</v>
      </c>
      <c r="C26" s="15" t="s">
        <v>116</v>
      </c>
      <c r="D26" s="18">
        <v>161</v>
      </c>
      <c r="T26">
        <v>29</v>
      </c>
      <c r="U26" t="s">
        <v>150</v>
      </c>
    </row>
    <row r="27" spans="1:22" ht="18" thickBot="1" x14ac:dyDescent="0.45">
      <c r="A27" s="21">
        <v>24</v>
      </c>
      <c r="B27" s="46" t="s">
        <v>43</v>
      </c>
      <c r="C27" s="22" t="s">
        <v>67</v>
      </c>
      <c r="D27" s="23">
        <v>700</v>
      </c>
      <c r="T27">
        <v>30</v>
      </c>
      <c r="U27" t="s">
        <v>151</v>
      </c>
    </row>
    <row r="29" spans="1:22" x14ac:dyDescent="0.4">
      <c r="C29" s="61"/>
      <c r="D29" s="61"/>
    </row>
    <row r="30" spans="1:22" x14ac:dyDescent="0.4">
      <c r="C30" s="62"/>
      <c r="D30" s="62"/>
    </row>
    <row r="31" spans="1:22" x14ac:dyDescent="0.4">
      <c r="C31" s="62"/>
      <c r="D31" s="62"/>
    </row>
    <row r="32" spans="1:22" x14ac:dyDescent="0.4">
      <c r="C32" s="62"/>
      <c r="D32" s="62"/>
    </row>
    <row r="33" spans="3:4" x14ac:dyDescent="0.4">
      <c r="C33" s="62"/>
      <c r="D33" s="62"/>
    </row>
    <row r="34" spans="3:4" x14ac:dyDescent="0.4">
      <c r="C34" s="62"/>
      <c r="D34" s="62"/>
    </row>
    <row r="35" spans="3:4" x14ac:dyDescent="0.4">
      <c r="C35" s="62"/>
      <c r="D35" s="62"/>
    </row>
    <row r="36" spans="3:4" x14ac:dyDescent="0.4">
      <c r="C36" s="62"/>
      <c r="D36" s="62"/>
    </row>
    <row r="37" spans="3:4" x14ac:dyDescent="0.4">
      <c r="C37" s="62"/>
      <c r="D37" s="62"/>
    </row>
    <row r="38" spans="3:4" x14ac:dyDescent="0.4">
      <c r="C38" s="62"/>
      <c r="D38" s="62"/>
    </row>
    <row r="39" spans="3:4" x14ac:dyDescent="0.4">
      <c r="C39" s="62"/>
      <c r="D39" s="62"/>
    </row>
    <row r="40" spans="3:4" x14ac:dyDescent="0.4">
      <c r="C40" s="62"/>
      <c r="D40" s="62"/>
    </row>
    <row r="41" spans="3:4" x14ac:dyDescent="0.4">
      <c r="C41" s="62"/>
      <c r="D41" s="62"/>
    </row>
    <row r="42" spans="3:4" x14ac:dyDescent="0.4">
      <c r="C42" s="62"/>
      <c r="D42" s="62"/>
    </row>
    <row r="43" spans="3:4" x14ac:dyDescent="0.4">
      <c r="C43" s="62"/>
      <c r="D43" s="62"/>
    </row>
    <row r="44" spans="3:4" x14ac:dyDescent="0.4">
      <c r="C44" s="62"/>
      <c r="D44" s="62"/>
    </row>
    <row r="45" spans="3:4" x14ac:dyDescent="0.4">
      <c r="C45" s="62"/>
      <c r="D45" s="62"/>
    </row>
    <row r="46" spans="3:4" x14ac:dyDescent="0.4">
      <c r="C46" s="62"/>
      <c r="D46" s="62"/>
    </row>
    <row r="47" spans="3:4" x14ac:dyDescent="0.4">
      <c r="C47" s="62"/>
      <c r="D47" s="62"/>
    </row>
    <row r="48" spans="3:4" x14ac:dyDescent="0.4">
      <c r="C48" s="62"/>
      <c r="D48" s="62"/>
    </row>
    <row r="49" spans="3:4" x14ac:dyDescent="0.4">
      <c r="C49" s="62"/>
      <c r="D49" s="62"/>
    </row>
    <row r="50" spans="3:4" x14ac:dyDescent="0.4">
      <c r="C50" s="62"/>
      <c r="D50" s="62"/>
    </row>
    <row r="51" spans="3:4" x14ac:dyDescent="0.4">
      <c r="C51" s="62"/>
      <c r="D51" s="62"/>
    </row>
    <row r="52" spans="3:4" x14ac:dyDescent="0.4">
      <c r="C52" s="62"/>
      <c r="D52" s="62"/>
    </row>
    <row r="53" spans="3:4" x14ac:dyDescent="0.4">
      <c r="C53" s="62"/>
      <c r="D53" s="62"/>
    </row>
    <row r="54" spans="3:4" x14ac:dyDescent="0.4">
      <c r="C54" s="63"/>
      <c r="D54" s="64"/>
    </row>
  </sheetData>
  <mergeCells count="5">
    <mergeCell ref="A2:I2"/>
    <mergeCell ref="J2:L2"/>
    <mergeCell ref="O2:V2"/>
    <mergeCell ref="O3:R3"/>
    <mergeCell ref="T3:V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D52E-89C4-47A3-B4E2-5613B56F711D}">
  <sheetPr codeName="Sheet4"/>
  <dimension ref="B1:F27"/>
  <sheetViews>
    <sheetView zoomScale="70" zoomScaleNormal="70" workbookViewId="0">
      <selection activeCell="I8" sqref="I8"/>
    </sheetView>
  </sheetViews>
  <sheetFormatPr defaultRowHeight="17.399999999999999" x14ac:dyDescent="0.4"/>
  <sheetData>
    <row r="1" spans="2:6" x14ac:dyDescent="0.4">
      <c r="B1" s="54"/>
      <c r="C1" s="77" t="s">
        <v>131</v>
      </c>
      <c r="D1" s="77"/>
      <c r="E1" s="60" t="s">
        <v>132</v>
      </c>
      <c r="F1" s="80" t="s">
        <v>135</v>
      </c>
    </row>
    <row r="2" spans="2:6" ht="18" thickBot="1" x14ac:dyDescent="0.45">
      <c r="B2" s="55"/>
      <c r="C2" s="53">
        <v>2020</v>
      </c>
      <c r="D2" s="53">
        <v>2022</v>
      </c>
      <c r="E2" s="53"/>
      <c r="F2" s="81"/>
    </row>
    <row r="3" spans="2:6" ht="18" thickTop="1" x14ac:dyDescent="0.4">
      <c r="B3" s="24" t="s">
        <v>61</v>
      </c>
      <c r="C3" s="25">
        <f>VLOOKUP(B3,'seg data'!$C$4:$D$27,2,0)</f>
        <v>710</v>
      </c>
      <c r="D3" s="25">
        <f>VLOOKUP($B3,'seg data'!$G$4:$I$14,2,0)</f>
        <v>610</v>
      </c>
      <c r="E3" s="25">
        <f>VLOOKUP($B3,'seg data'!$L$4:$M$12,2,0)</f>
        <v>4000</v>
      </c>
      <c r="F3" s="57">
        <f t="shared" ref="F3:F27" si="0">SUM(C3:E3)</f>
        <v>5320</v>
      </c>
    </row>
    <row r="4" spans="2:6" x14ac:dyDescent="0.4">
      <c r="B4" s="17" t="s">
        <v>63</v>
      </c>
      <c r="C4" s="25">
        <f>VLOOKUP(B4,'seg data'!$C$4:$D$27,2,0)</f>
        <v>307</v>
      </c>
      <c r="D4" s="25">
        <f>VLOOKUP($B4,'seg data'!$G$4:$I$14,2,0)</f>
        <v>81</v>
      </c>
      <c r="E4" s="25"/>
      <c r="F4" s="43">
        <f t="shared" si="0"/>
        <v>388</v>
      </c>
    </row>
    <row r="5" spans="2:6" x14ac:dyDescent="0.4">
      <c r="B5" s="17" t="s">
        <v>59</v>
      </c>
      <c r="C5" s="25">
        <f>VLOOKUP(B5,'seg data'!$C$4:$D$27,2,0)</f>
        <v>726</v>
      </c>
      <c r="D5" s="25">
        <f>VLOOKUP($B5,'seg data'!$G$4:$I$14,2,0)</f>
        <v>844</v>
      </c>
      <c r="E5" s="25">
        <f>VLOOKUP($B5,'seg data'!$L$4:$M$12,2,0)</f>
        <v>3000</v>
      </c>
      <c r="F5" s="57">
        <f t="shared" si="0"/>
        <v>4570</v>
      </c>
    </row>
    <row r="6" spans="2:6" x14ac:dyDescent="0.4">
      <c r="B6" s="19" t="s">
        <v>115</v>
      </c>
      <c r="C6" s="25">
        <f>VLOOKUP(B6,'seg data'!$C$4:$D$27,2,0)</f>
        <v>24</v>
      </c>
      <c r="D6" s="25"/>
      <c r="E6" s="25"/>
      <c r="F6" s="43">
        <f t="shared" si="0"/>
        <v>24</v>
      </c>
    </row>
    <row r="7" spans="2:6" x14ac:dyDescent="0.4">
      <c r="B7" s="17" t="s">
        <v>69</v>
      </c>
      <c r="C7" s="25">
        <f>VLOOKUP(B7,'seg data'!$C$4:$D$27,2,0)</f>
        <v>112</v>
      </c>
      <c r="D7" s="25"/>
      <c r="E7" s="25"/>
      <c r="F7" s="43">
        <f t="shared" si="0"/>
        <v>112</v>
      </c>
    </row>
    <row r="8" spans="2:6" x14ac:dyDescent="0.4">
      <c r="B8" s="17" t="s">
        <v>70</v>
      </c>
      <c r="C8" s="25">
        <f>VLOOKUP(B8,'seg data'!$C$4:$D$27,2,0)</f>
        <v>73</v>
      </c>
      <c r="D8" s="25"/>
      <c r="E8" s="25"/>
      <c r="F8" s="43">
        <f t="shared" si="0"/>
        <v>73</v>
      </c>
    </row>
    <row r="9" spans="2:6" x14ac:dyDescent="0.4">
      <c r="B9" s="17" t="s">
        <v>78</v>
      </c>
      <c r="C9" s="25">
        <f>VLOOKUP(B9,'seg data'!$C$4:$D$27,2,0)</f>
        <v>9</v>
      </c>
      <c r="D9" s="25"/>
      <c r="E9" s="25"/>
      <c r="F9" s="43">
        <f t="shared" si="0"/>
        <v>9</v>
      </c>
    </row>
    <row r="10" spans="2:6" x14ac:dyDescent="0.4">
      <c r="B10" s="19" t="s">
        <v>118</v>
      </c>
      <c r="C10" s="25">
        <f>VLOOKUP(B10,'seg data'!$C$4:$D$27,2,0)</f>
        <v>144</v>
      </c>
      <c r="D10" s="25"/>
      <c r="E10" s="25"/>
      <c r="F10" s="43">
        <f t="shared" si="0"/>
        <v>144</v>
      </c>
    </row>
    <row r="11" spans="2:6" x14ac:dyDescent="0.4">
      <c r="B11" s="17" t="s">
        <v>102</v>
      </c>
      <c r="C11" s="25">
        <f>VLOOKUP(B11,'seg data'!$C$4:$D$27,2,0)</f>
        <v>0</v>
      </c>
      <c r="D11" s="25"/>
      <c r="E11" s="25"/>
      <c r="F11" s="43">
        <f t="shared" si="0"/>
        <v>0</v>
      </c>
    </row>
    <row r="12" spans="2:6" x14ac:dyDescent="0.4">
      <c r="B12" s="17" t="s">
        <v>93</v>
      </c>
      <c r="C12" s="25">
        <f>VLOOKUP(B12,'seg data'!$C$4:$D$27,2,0)</f>
        <v>800</v>
      </c>
      <c r="D12" s="25">
        <f>VLOOKUP($B12,'seg data'!$G$4:$I$14,2,0)</f>
        <v>500</v>
      </c>
      <c r="E12" s="25">
        <f>VLOOKUP($B12,'seg data'!$L$4:$M$12,2,0)</f>
        <v>3000</v>
      </c>
      <c r="F12" s="57">
        <f t="shared" si="0"/>
        <v>4300</v>
      </c>
    </row>
    <row r="13" spans="2:6" x14ac:dyDescent="0.4">
      <c r="B13" s="17" t="s">
        <v>95</v>
      </c>
      <c r="C13" s="25">
        <f>VLOOKUP(B13,'seg data'!$C$4:$D$27,2,0)</f>
        <v>890</v>
      </c>
      <c r="D13" s="25">
        <f>VLOOKUP($B13,'seg data'!$G$4:$I$14,2,0)</f>
        <v>500</v>
      </c>
      <c r="E13" s="25"/>
      <c r="F13" s="43">
        <f t="shared" si="0"/>
        <v>1390</v>
      </c>
    </row>
    <row r="14" spans="2:6" x14ac:dyDescent="0.4">
      <c r="B14" s="17" t="s">
        <v>81</v>
      </c>
      <c r="C14" s="25">
        <f>VLOOKUP(B14,'seg data'!$C$4:$D$27,2,0)</f>
        <v>224</v>
      </c>
      <c r="D14" s="25"/>
      <c r="E14" s="25"/>
      <c r="F14" s="43">
        <f t="shared" si="0"/>
        <v>224</v>
      </c>
    </row>
    <row r="15" spans="2:6" x14ac:dyDescent="0.4">
      <c r="B15" s="17" t="s">
        <v>101</v>
      </c>
      <c r="C15" s="25">
        <f>VLOOKUP(B15,'seg data'!$C$4:$D$27,2,0)</f>
        <v>579</v>
      </c>
      <c r="D15" s="25">
        <f>VLOOKUP($B15,'seg data'!$G$4:$I$14,2,0)</f>
        <v>500</v>
      </c>
      <c r="E15" s="25">
        <f>VLOOKUP($B15,'seg data'!$L$4:$M$12,2,0)</f>
        <v>3000</v>
      </c>
      <c r="F15" s="57">
        <f t="shared" si="0"/>
        <v>4079</v>
      </c>
    </row>
    <row r="16" spans="2:6" x14ac:dyDescent="0.4">
      <c r="B16" s="17" t="s">
        <v>99</v>
      </c>
      <c r="C16" s="25">
        <f>VLOOKUP(B16,'seg data'!$C$4:$D$27,2,0)</f>
        <v>800</v>
      </c>
      <c r="D16" s="25">
        <f>VLOOKUP($B16,'seg data'!$G$4:$I$14,2,0)</f>
        <v>500</v>
      </c>
      <c r="E16" s="25">
        <f>VLOOKUP($B16,'seg data'!$L$4:$M$12,2,0)</f>
        <v>3000</v>
      </c>
      <c r="F16" s="57">
        <f t="shared" si="0"/>
        <v>4300</v>
      </c>
    </row>
    <row r="17" spans="2:6" x14ac:dyDescent="0.4">
      <c r="B17" s="17" t="s">
        <v>97</v>
      </c>
      <c r="C17" s="25">
        <f>VLOOKUP(B17,'seg data'!$C$4:$D$27,2,0)</f>
        <v>800</v>
      </c>
      <c r="D17" s="25">
        <f>VLOOKUP($B17,'seg data'!$G$4:$I$14,2,0)</f>
        <v>500</v>
      </c>
      <c r="E17" s="25"/>
      <c r="F17" s="43">
        <f t="shared" si="0"/>
        <v>1300</v>
      </c>
    </row>
    <row r="18" spans="2:6" x14ac:dyDescent="0.4">
      <c r="B18" s="19" t="s">
        <v>117</v>
      </c>
      <c r="C18" s="25">
        <f>VLOOKUP(B18,'seg data'!$C$4:$D$27,2,0)</f>
        <v>181</v>
      </c>
      <c r="D18" s="25"/>
      <c r="E18" s="25"/>
      <c r="F18" s="43">
        <f t="shared" si="0"/>
        <v>181</v>
      </c>
    </row>
    <row r="19" spans="2:6" x14ac:dyDescent="0.4">
      <c r="B19" s="17" t="s">
        <v>68</v>
      </c>
      <c r="C19" s="25">
        <f>VLOOKUP(B19,'seg data'!$C$4:$D$27,2,0)</f>
        <v>105</v>
      </c>
      <c r="D19" s="25"/>
      <c r="E19" s="25"/>
      <c r="F19" s="43">
        <f t="shared" si="0"/>
        <v>105</v>
      </c>
    </row>
    <row r="20" spans="2:6" x14ac:dyDescent="0.4">
      <c r="B20" s="17" t="s">
        <v>82</v>
      </c>
      <c r="C20" s="25">
        <f>VLOOKUP(B20,'seg data'!$C$4:$D$27,2,0)</f>
        <v>347</v>
      </c>
      <c r="D20" s="25"/>
      <c r="E20" s="25"/>
      <c r="F20" s="43">
        <f t="shared" si="0"/>
        <v>347</v>
      </c>
    </row>
    <row r="21" spans="2:6" x14ac:dyDescent="0.4">
      <c r="B21" s="19" t="s">
        <v>119</v>
      </c>
      <c r="C21" s="25">
        <f>VLOOKUP(B21,'seg data'!$C$4:$D$27,2,0)</f>
        <v>132</v>
      </c>
      <c r="D21" s="25"/>
      <c r="E21" s="25"/>
      <c r="F21" s="43">
        <f t="shared" si="0"/>
        <v>132</v>
      </c>
    </row>
    <row r="22" spans="2:6" x14ac:dyDescent="0.4">
      <c r="B22" s="17" t="s">
        <v>103</v>
      </c>
      <c r="C22" s="25">
        <f>VLOOKUP(B22,'seg data'!$C$4:$D$27,2,0)</f>
        <v>583</v>
      </c>
      <c r="D22" s="25"/>
      <c r="E22" s="25"/>
      <c r="F22" s="43">
        <f t="shared" si="0"/>
        <v>583</v>
      </c>
    </row>
    <row r="23" spans="2:6" x14ac:dyDescent="0.4">
      <c r="B23" s="17" t="s">
        <v>105</v>
      </c>
      <c r="C23" s="25">
        <f>VLOOKUP(B23,'seg data'!$C$4:$D$27,2,0)</f>
        <v>863</v>
      </c>
      <c r="D23" s="25">
        <f>VLOOKUP($B23,'seg data'!$G$4:$I$14,2,0)</f>
        <v>525</v>
      </c>
      <c r="E23" s="25">
        <f>VLOOKUP($B23,'seg data'!$L$4:$M$12,2,0)</f>
        <v>3000</v>
      </c>
      <c r="F23" s="57">
        <f t="shared" si="0"/>
        <v>4388</v>
      </c>
    </row>
    <row r="24" spans="2:6" x14ac:dyDescent="0.4">
      <c r="B24" s="17" t="s">
        <v>72</v>
      </c>
      <c r="C24" s="25">
        <f>VLOOKUP(B24,'seg data'!$C$4:$D$27,2,0)</f>
        <v>730</v>
      </c>
      <c r="D24" s="25">
        <f>VLOOKUP($B24,'seg data'!$G$4:$I$14,2,0)</f>
        <v>500</v>
      </c>
      <c r="E24" s="25">
        <f>VLOOKUP($B24,'seg data'!$L$4:$M$12,2,0)</f>
        <v>3000</v>
      </c>
      <c r="F24" s="57">
        <f t="shared" si="0"/>
        <v>4230</v>
      </c>
    </row>
    <row r="25" spans="2:6" x14ac:dyDescent="0.4">
      <c r="B25" s="17" t="s">
        <v>116</v>
      </c>
      <c r="C25" s="25">
        <f>VLOOKUP(B25,'seg data'!$C$4:$D$27,2,0)</f>
        <v>161</v>
      </c>
      <c r="D25" s="25"/>
      <c r="E25" s="25"/>
      <c r="F25" s="43">
        <f t="shared" si="0"/>
        <v>161</v>
      </c>
    </row>
    <row r="26" spans="2:6" x14ac:dyDescent="0.4">
      <c r="B26" s="17" t="s">
        <v>67</v>
      </c>
      <c r="C26" s="25">
        <f>VLOOKUP(B26,'seg data'!$C$4:$D$27,2,0)</f>
        <v>700</v>
      </c>
      <c r="D26" s="25">
        <f>VLOOKUP($B26,'seg data'!$G$4:$I$14,2,0)</f>
        <v>500</v>
      </c>
      <c r="E26" s="25">
        <f>VLOOKUP($B26,'seg data'!$L$4:$M$12,2,0)</f>
        <v>2999</v>
      </c>
      <c r="F26" s="57">
        <f t="shared" si="0"/>
        <v>4199</v>
      </c>
    </row>
    <row r="27" spans="2:6" ht="18" thickBot="1" x14ac:dyDescent="0.45">
      <c r="B27" s="21" t="s">
        <v>134</v>
      </c>
      <c r="C27" s="25"/>
      <c r="D27" s="25"/>
      <c r="E27" s="25">
        <f>VLOOKUP($B27,'seg data'!$L$4:$M$12,2,0)</f>
        <v>5000</v>
      </c>
      <c r="F27" s="57">
        <f t="shared" si="0"/>
        <v>5000</v>
      </c>
    </row>
  </sheetData>
  <mergeCells count="2">
    <mergeCell ref="C1:D1"/>
    <mergeCell ref="F1:F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ED5D-CCD2-4219-B380-AC1CA9B19189}">
  <sheetPr codeName="Sheet5"/>
  <dimension ref="A1:C21"/>
  <sheetViews>
    <sheetView workbookViewId="0">
      <selection activeCell="M6" sqref="M6"/>
    </sheetView>
  </sheetViews>
  <sheetFormatPr defaultRowHeight="17.399999999999999" x14ac:dyDescent="0.4"/>
  <sheetData>
    <row r="1" spans="1:3" x14ac:dyDescent="0.4">
      <c r="A1" t="s">
        <v>20</v>
      </c>
      <c r="B1" t="s">
        <v>61</v>
      </c>
      <c r="C1">
        <v>1350</v>
      </c>
    </row>
    <row r="2" spans="1:3" x14ac:dyDescent="0.4">
      <c r="A2" t="s">
        <v>21</v>
      </c>
      <c r="B2" t="s">
        <v>63</v>
      </c>
      <c r="C2">
        <v>730</v>
      </c>
    </row>
    <row r="3" spans="1:3" x14ac:dyDescent="0.4">
      <c r="A3" t="s">
        <v>22</v>
      </c>
      <c r="B3" t="s">
        <v>59</v>
      </c>
      <c r="C3">
        <v>1250</v>
      </c>
    </row>
    <row r="4" spans="1:3" x14ac:dyDescent="0.4">
      <c r="A4" t="s">
        <v>24</v>
      </c>
      <c r="B4" t="s">
        <v>69</v>
      </c>
      <c r="C4">
        <v>427</v>
      </c>
    </row>
    <row r="5" spans="1:3" x14ac:dyDescent="0.4">
      <c r="A5" t="s">
        <v>25</v>
      </c>
      <c r="B5" t="s">
        <v>70</v>
      </c>
      <c r="C5">
        <v>286</v>
      </c>
    </row>
    <row r="6" spans="1:3" x14ac:dyDescent="0.4">
      <c r="A6" s="1" t="s">
        <v>27</v>
      </c>
      <c r="B6" s="1" t="s">
        <v>118</v>
      </c>
      <c r="C6" s="1">
        <v>550</v>
      </c>
    </row>
    <row r="7" spans="1:3" x14ac:dyDescent="0.4">
      <c r="A7" t="s">
        <v>29</v>
      </c>
      <c r="B7" t="s">
        <v>93</v>
      </c>
      <c r="C7">
        <v>5400</v>
      </c>
    </row>
    <row r="8" spans="1:3" x14ac:dyDescent="0.4">
      <c r="A8" t="s">
        <v>30</v>
      </c>
      <c r="B8" t="s">
        <v>95</v>
      </c>
      <c r="C8">
        <v>8400</v>
      </c>
    </row>
    <row r="9" spans="1:3" x14ac:dyDescent="0.4">
      <c r="A9" t="s">
        <v>31</v>
      </c>
      <c r="B9" t="s">
        <v>81</v>
      </c>
      <c r="C9">
        <v>830</v>
      </c>
    </row>
    <row r="10" spans="1:3" x14ac:dyDescent="0.4">
      <c r="A10" t="s">
        <v>32</v>
      </c>
      <c r="B10" t="s">
        <v>101</v>
      </c>
      <c r="C10">
        <v>1840</v>
      </c>
    </row>
    <row r="11" spans="1:3" x14ac:dyDescent="0.4">
      <c r="A11" t="s">
        <v>33</v>
      </c>
      <c r="B11" t="s">
        <v>99</v>
      </c>
      <c r="C11">
        <v>6250</v>
      </c>
    </row>
    <row r="12" spans="1:3" x14ac:dyDescent="0.4">
      <c r="A12" t="s">
        <v>34</v>
      </c>
      <c r="B12" t="s">
        <v>97</v>
      </c>
      <c r="C12">
        <v>3725</v>
      </c>
    </row>
    <row r="13" spans="1:3" x14ac:dyDescent="0.4">
      <c r="A13" s="1" t="s">
        <v>35</v>
      </c>
      <c r="B13" s="1" t="s">
        <v>117</v>
      </c>
      <c r="C13" s="1">
        <v>680</v>
      </c>
    </row>
    <row r="14" spans="1:3" x14ac:dyDescent="0.4">
      <c r="A14" t="s">
        <v>36</v>
      </c>
      <c r="B14" t="s">
        <v>68</v>
      </c>
      <c r="C14">
        <v>420</v>
      </c>
    </row>
    <row r="15" spans="1:3" x14ac:dyDescent="0.4">
      <c r="A15" t="s">
        <v>37</v>
      </c>
      <c r="B15" t="s">
        <v>82</v>
      </c>
      <c r="C15">
        <v>1107</v>
      </c>
    </row>
    <row r="16" spans="1:3" x14ac:dyDescent="0.4">
      <c r="A16" s="1" t="s">
        <v>38</v>
      </c>
      <c r="B16" s="1" t="s">
        <v>119</v>
      </c>
      <c r="C16" s="1">
        <v>140</v>
      </c>
    </row>
    <row r="17" spans="1:3" x14ac:dyDescent="0.4">
      <c r="A17" t="s">
        <v>39</v>
      </c>
      <c r="B17" t="s">
        <v>103</v>
      </c>
      <c r="C17">
        <v>631</v>
      </c>
    </row>
    <row r="18" spans="1:3" x14ac:dyDescent="0.4">
      <c r="A18" t="s">
        <v>40</v>
      </c>
      <c r="B18" t="s">
        <v>105</v>
      </c>
      <c r="C18">
        <v>2577</v>
      </c>
    </row>
    <row r="19" spans="1:3" x14ac:dyDescent="0.4">
      <c r="A19" t="s">
        <v>41</v>
      </c>
      <c r="B19" t="s">
        <v>72</v>
      </c>
      <c r="C19">
        <v>1720</v>
      </c>
    </row>
    <row r="20" spans="1:3" x14ac:dyDescent="0.4">
      <c r="A20" t="s">
        <v>42</v>
      </c>
      <c r="B20" t="s">
        <v>116</v>
      </c>
      <c r="C20">
        <v>304</v>
      </c>
    </row>
    <row r="21" spans="1:3" x14ac:dyDescent="0.4">
      <c r="A21" t="s">
        <v>43</v>
      </c>
      <c r="B21" t="s">
        <v>67</v>
      </c>
      <c r="C21">
        <v>1926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456C-7785-4DDE-910D-8797FCF36756}">
  <sheetPr codeName="Sheet6"/>
  <dimension ref="A1:G20"/>
  <sheetViews>
    <sheetView tabSelected="1" workbookViewId="0">
      <selection activeCell="O11" sqref="O11"/>
    </sheetView>
  </sheetViews>
  <sheetFormatPr defaultRowHeight="17.399999999999999" x14ac:dyDescent="0.4"/>
  <cols>
    <col min="1" max="1" width="5.5" bestFit="1" customWidth="1"/>
    <col min="2" max="2" width="20.296875" customWidth="1"/>
    <col min="3" max="3" width="7" bestFit="1" customWidth="1"/>
    <col min="4" max="4" width="9" bestFit="1" customWidth="1"/>
  </cols>
  <sheetData>
    <row r="1" spans="1:7" ht="34.799999999999997" x14ac:dyDescent="0.4">
      <c r="A1" s="61" t="s">
        <v>153</v>
      </c>
      <c r="B1" s="61" t="s">
        <v>154</v>
      </c>
      <c r="C1" s="87" t="s">
        <v>155</v>
      </c>
      <c r="D1" s="87" t="s">
        <v>156</v>
      </c>
      <c r="E1" s="87" t="s">
        <v>157</v>
      </c>
      <c r="F1" s="87" t="s">
        <v>158</v>
      </c>
      <c r="G1" s="87" t="s">
        <v>159</v>
      </c>
    </row>
    <row r="2" spans="1:7" x14ac:dyDescent="0.4">
      <c r="A2" s="62" t="s">
        <v>71</v>
      </c>
      <c r="B2" s="62" t="s">
        <v>41</v>
      </c>
      <c r="C2" s="88">
        <v>38116</v>
      </c>
      <c r="D2" s="88">
        <v>15000</v>
      </c>
      <c r="E2" s="88">
        <v>12000</v>
      </c>
      <c r="F2" s="88">
        <v>1500</v>
      </c>
      <c r="G2" s="88">
        <v>1500</v>
      </c>
    </row>
    <row r="3" spans="1:7" ht="34.799999999999997" x14ac:dyDescent="0.4">
      <c r="A3" s="62" t="s">
        <v>58</v>
      </c>
      <c r="B3" s="62" t="s">
        <v>22</v>
      </c>
      <c r="C3" s="88">
        <v>19994</v>
      </c>
      <c r="D3" s="88">
        <v>15000</v>
      </c>
      <c r="E3" s="88">
        <v>12000</v>
      </c>
      <c r="F3" s="88">
        <v>1500</v>
      </c>
      <c r="G3" s="88">
        <v>1500</v>
      </c>
    </row>
    <row r="4" spans="1:7" ht="34.799999999999997" x14ac:dyDescent="0.4">
      <c r="A4" s="62" t="s">
        <v>60</v>
      </c>
      <c r="B4" s="62" t="s">
        <v>20</v>
      </c>
      <c r="C4" s="88">
        <v>19860</v>
      </c>
      <c r="D4" s="88">
        <v>15000</v>
      </c>
      <c r="E4" s="88">
        <v>12000</v>
      </c>
      <c r="F4" s="88">
        <v>1500</v>
      </c>
      <c r="G4" s="88">
        <v>1500</v>
      </c>
    </row>
    <row r="5" spans="1:7" ht="34.799999999999997" x14ac:dyDescent="0.4">
      <c r="A5" s="62" t="s">
        <v>62</v>
      </c>
      <c r="B5" s="62" t="s">
        <v>21</v>
      </c>
      <c r="C5" s="86">
        <v>771</v>
      </c>
      <c r="D5" s="86">
        <v>771</v>
      </c>
      <c r="E5" s="86">
        <v>617</v>
      </c>
      <c r="F5" s="86">
        <v>77</v>
      </c>
      <c r="G5" s="86">
        <v>77</v>
      </c>
    </row>
    <row r="6" spans="1:7" x14ac:dyDescent="0.4">
      <c r="A6" s="62" t="s">
        <v>104</v>
      </c>
      <c r="B6" s="62" t="s">
        <v>40</v>
      </c>
      <c r="C6" s="88">
        <v>30002</v>
      </c>
      <c r="D6" s="88">
        <v>15000</v>
      </c>
      <c r="E6" s="88">
        <v>12000</v>
      </c>
      <c r="F6" s="88">
        <v>1500</v>
      </c>
      <c r="G6" s="88">
        <v>1500</v>
      </c>
    </row>
    <row r="7" spans="1:7" x14ac:dyDescent="0.4">
      <c r="A7" s="62" t="s">
        <v>160</v>
      </c>
      <c r="B7" s="62" t="s">
        <v>37</v>
      </c>
      <c r="C7" s="88">
        <v>1107</v>
      </c>
      <c r="D7" s="88">
        <v>1107</v>
      </c>
      <c r="E7" s="86">
        <v>886</v>
      </c>
      <c r="F7" s="86">
        <v>111</v>
      </c>
      <c r="G7" s="86">
        <v>110</v>
      </c>
    </row>
    <row r="8" spans="1:7" ht="34.799999999999997" x14ac:dyDescent="0.4">
      <c r="A8" s="62" t="s">
        <v>100</v>
      </c>
      <c r="B8" s="62" t="s">
        <v>32</v>
      </c>
      <c r="C8" s="88">
        <v>38240</v>
      </c>
      <c r="D8" s="88">
        <v>15000</v>
      </c>
      <c r="E8" s="88">
        <v>12000</v>
      </c>
      <c r="F8" s="88">
        <v>1500</v>
      </c>
      <c r="G8" s="88">
        <v>1500</v>
      </c>
    </row>
    <row r="9" spans="1:7" ht="34.799999999999997" x14ac:dyDescent="0.4">
      <c r="A9" s="62" t="s">
        <v>98</v>
      </c>
      <c r="B9" s="62" t="s">
        <v>33</v>
      </c>
      <c r="C9" s="88">
        <v>42053</v>
      </c>
      <c r="D9" s="88">
        <v>15000</v>
      </c>
      <c r="E9" s="88">
        <v>12000</v>
      </c>
      <c r="F9" s="88">
        <v>1500</v>
      </c>
      <c r="G9" s="88">
        <v>1500</v>
      </c>
    </row>
    <row r="10" spans="1:7" ht="34.799999999999997" x14ac:dyDescent="0.4">
      <c r="A10" s="62" t="s">
        <v>96</v>
      </c>
      <c r="B10" s="62" t="s">
        <v>34</v>
      </c>
      <c r="C10" s="88">
        <v>4125</v>
      </c>
      <c r="D10" s="88">
        <v>4125</v>
      </c>
      <c r="E10" s="88">
        <v>3300</v>
      </c>
      <c r="F10" s="86">
        <v>412</v>
      </c>
      <c r="G10" s="86">
        <v>413</v>
      </c>
    </row>
    <row r="11" spans="1:7" ht="34.799999999999997" x14ac:dyDescent="0.4">
      <c r="A11" s="62" t="s">
        <v>92</v>
      </c>
      <c r="B11" s="62" t="s">
        <v>29</v>
      </c>
      <c r="C11" s="88">
        <v>41799</v>
      </c>
      <c r="D11" s="88">
        <v>15000</v>
      </c>
      <c r="E11" s="88">
        <v>12000</v>
      </c>
      <c r="F11" s="88">
        <v>1500</v>
      </c>
      <c r="G11" s="88">
        <v>1500</v>
      </c>
    </row>
    <row r="12" spans="1:7" ht="52.2" x14ac:dyDescent="0.4">
      <c r="A12" s="62" t="s">
        <v>94</v>
      </c>
      <c r="B12" s="62" t="s">
        <v>161</v>
      </c>
      <c r="C12" s="88">
        <v>8800</v>
      </c>
      <c r="D12" s="88">
        <v>8800</v>
      </c>
      <c r="E12" s="88">
        <v>7040</v>
      </c>
      <c r="F12" s="86">
        <v>880</v>
      </c>
      <c r="G12" s="86">
        <v>880</v>
      </c>
    </row>
    <row r="13" spans="1:7" ht="34.799999999999997" x14ac:dyDescent="0.4">
      <c r="A13" s="62" t="s">
        <v>162</v>
      </c>
      <c r="B13" s="62" t="s">
        <v>31</v>
      </c>
      <c r="C13" s="86">
        <v>830</v>
      </c>
      <c r="D13" s="86">
        <v>830</v>
      </c>
      <c r="E13" s="86">
        <v>664</v>
      </c>
      <c r="F13" s="86">
        <v>83</v>
      </c>
      <c r="G13" s="86">
        <v>83</v>
      </c>
    </row>
    <row r="14" spans="1:7" x14ac:dyDescent="0.4">
      <c r="A14" s="62" t="s">
        <v>163</v>
      </c>
      <c r="B14" s="62" t="s">
        <v>27</v>
      </c>
      <c r="C14" s="86">
        <v>550</v>
      </c>
      <c r="D14" s="86">
        <v>550</v>
      </c>
      <c r="E14" s="86">
        <v>440</v>
      </c>
      <c r="F14" s="86">
        <v>55</v>
      </c>
      <c r="G14" s="86">
        <v>55</v>
      </c>
    </row>
    <row r="15" spans="1:7" x14ac:dyDescent="0.4">
      <c r="A15" s="62" t="s">
        <v>66</v>
      </c>
      <c r="B15" s="62" t="s">
        <v>43</v>
      </c>
      <c r="C15" s="88">
        <v>20326</v>
      </c>
      <c r="D15" s="88">
        <v>15000</v>
      </c>
      <c r="E15" s="88">
        <v>12000</v>
      </c>
      <c r="F15" s="88">
        <v>1500</v>
      </c>
      <c r="G15" s="88">
        <v>1500</v>
      </c>
    </row>
    <row r="16" spans="1:7" x14ac:dyDescent="0.4">
      <c r="A16" s="62" t="s">
        <v>164</v>
      </c>
      <c r="B16" s="62" t="s">
        <v>39</v>
      </c>
      <c r="C16" s="86">
        <v>631</v>
      </c>
      <c r="D16" s="86">
        <v>631</v>
      </c>
      <c r="E16" s="86">
        <v>505</v>
      </c>
      <c r="F16" s="86">
        <v>63</v>
      </c>
      <c r="G16" s="86">
        <v>63</v>
      </c>
    </row>
    <row r="17" spans="1:7" ht="34.799999999999997" x14ac:dyDescent="0.4">
      <c r="A17" s="62" t="s">
        <v>165</v>
      </c>
      <c r="B17" s="62" t="s">
        <v>35</v>
      </c>
      <c r="C17" s="86">
        <v>680</v>
      </c>
      <c r="D17" s="86">
        <v>680</v>
      </c>
      <c r="E17" s="86">
        <v>544</v>
      </c>
      <c r="F17" s="86">
        <v>68</v>
      </c>
      <c r="G17" s="86">
        <v>68</v>
      </c>
    </row>
    <row r="18" spans="1:7" ht="34.799999999999997" x14ac:dyDescent="0.4">
      <c r="A18" s="62" t="s">
        <v>166</v>
      </c>
      <c r="B18" s="62" t="s">
        <v>167</v>
      </c>
      <c r="C18" s="88">
        <v>45000</v>
      </c>
      <c r="D18" s="88">
        <v>15000</v>
      </c>
      <c r="E18" s="88">
        <v>12000</v>
      </c>
      <c r="F18" s="88">
        <v>1500</v>
      </c>
      <c r="G18" s="88">
        <v>1500</v>
      </c>
    </row>
    <row r="19" spans="1:7" ht="34.799999999999997" x14ac:dyDescent="0.4">
      <c r="A19" s="62" t="s">
        <v>168</v>
      </c>
      <c r="B19" s="62" t="s">
        <v>169</v>
      </c>
      <c r="C19" s="88">
        <v>90000</v>
      </c>
      <c r="D19" s="88">
        <v>15000</v>
      </c>
      <c r="E19" s="88">
        <v>12000</v>
      </c>
      <c r="F19" s="88">
        <v>1500</v>
      </c>
      <c r="G19" s="88">
        <v>1500</v>
      </c>
    </row>
    <row r="20" spans="1:7" x14ac:dyDescent="0.4">
      <c r="A20" s="63" t="s">
        <v>170</v>
      </c>
      <c r="B20" s="62"/>
      <c r="C20" s="86"/>
      <c r="D20" s="89">
        <v>167494</v>
      </c>
      <c r="E20" s="89">
        <v>133996</v>
      </c>
      <c r="F20" s="89">
        <v>16749</v>
      </c>
      <c r="G20" s="89">
        <v>16749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bbox data</vt:lpstr>
      <vt:lpstr>bbox_total</vt:lpstr>
      <vt:lpstr>seg data</vt:lpstr>
      <vt:lpstr>seg_total</vt:lpstr>
      <vt:lpstr>Sheet4</vt:lpstr>
      <vt:lpstr>test3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2026-06-28T06:44:18Z</dcterms:created>
  <dcterms:modified xsi:type="dcterms:W3CDTF">2026-07-15T05:21:08Z</dcterms:modified>
</cp:coreProperties>
</file>